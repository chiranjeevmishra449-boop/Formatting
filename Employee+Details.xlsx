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8_{BE480413-7BED-4CAB-8CDC-D1A368F687BB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  <ext uri="GoogleSheetsCustomDataVersion2">
      <go:sheetsCustomData xmlns:go="http://customooxmlschemas.google.com/" r:id="rId5" roundtripDataChecksum="EEwjCpWlkMzU0EvrxsZppVcAG1U8q4x3DL/HcuRrXUM="/>
    </ext>
  </extLst>
</workbook>
</file>

<file path=xl/calcChain.xml><?xml version="1.0" encoding="utf-8"?>
<calcChain xmlns="http://schemas.openxmlformats.org/spreadsheetml/2006/main">
  <c r="K5" i="1" l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4" i="1"/>
  <c r="I1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4" i="1"/>
</calcChain>
</file>

<file path=xl/sharedStrings.xml><?xml version="1.0" encoding="utf-8"?>
<sst xmlns="http://schemas.openxmlformats.org/spreadsheetml/2006/main" count="117" uniqueCount="101">
  <si>
    <t>Today's Date:</t>
  </si>
  <si>
    <t>Full Name</t>
  </si>
  <si>
    <t>Last</t>
  </si>
  <si>
    <t>First</t>
  </si>
  <si>
    <t>Date of Hire</t>
  </si>
  <si>
    <t>Department</t>
  </si>
  <si>
    <t>Years of Service</t>
  </si>
  <si>
    <t>Office Location</t>
  </si>
  <si>
    <t>Extension</t>
  </si>
  <si>
    <t>Building</t>
  </si>
  <si>
    <t>EmailID</t>
  </si>
  <si>
    <t>DECKER</t>
  </si>
  <si>
    <t>ERICA</t>
  </si>
  <si>
    <t>Tech. Support</t>
  </si>
  <si>
    <t>Lab-02 2099</t>
  </si>
  <si>
    <t>BARRY</t>
  </si>
  <si>
    <t>ANGELA</t>
  </si>
  <si>
    <t>Engineering</t>
  </si>
  <si>
    <t>Central-02 2770</t>
  </si>
  <si>
    <t>COLE</t>
  </si>
  <si>
    <t>DANIEL</t>
  </si>
  <si>
    <t>Development</t>
  </si>
  <si>
    <t>Central-08 2544</t>
  </si>
  <si>
    <t>CHAFFEE</t>
  </si>
  <si>
    <t>ADAM</t>
  </si>
  <si>
    <t>Facilities</t>
  </si>
  <si>
    <t>HQ-06 2110</t>
  </si>
  <si>
    <t>DONNELL</t>
  </si>
  <si>
    <t>SUSAN</t>
  </si>
  <si>
    <t>Accounting</t>
  </si>
  <si>
    <t>HQ-04 2066</t>
  </si>
  <si>
    <t>FERN</t>
  </si>
  <si>
    <t>ELIZABETH</t>
  </si>
  <si>
    <t>Human Resources</t>
  </si>
  <si>
    <t>HQ-08 2511</t>
  </si>
  <si>
    <t>ELLIS</t>
  </si>
  <si>
    <t>JANET</t>
  </si>
  <si>
    <t>HQ-09 2665</t>
  </si>
  <si>
    <t>CHUNG</t>
  </si>
  <si>
    <t>BOB</t>
  </si>
  <si>
    <t>HQ-03 2667</t>
  </si>
  <si>
    <t>FLANDERS</t>
  </si>
  <si>
    <t>SABRINA</t>
  </si>
  <si>
    <t>Central-12 2967</t>
  </si>
  <si>
    <t>CLARK</t>
  </si>
  <si>
    <t>JOHN</t>
  </si>
  <si>
    <t>HQ-10 2700</t>
  </si>
  <si>
    <t>BOLLER</t>
  </si>
  <si>
    <t>MARY</t>
  </si>
  <si>
    <t>HQ-11 2678</t>
  </si>
  <si>
    <t>CAROL</t>
  </si>
  <si>
    <t>Executive</t>
  </si>
  <si>
    <t>HQ-01 2089</t>
  </si>
  <si>
    <t>ANNA</t>
  </si>
  <si>
    <t>Central-07 2547</t>
  </si>
  <si>
    <t>CLARKE</t>
  </si>
  <si>
    <t>JOE</t>
  </si>
  <si>
    <t>Customer Service</t>
  </si>
  <si>
    <t>HQ-02 2109</t>
  </si>
  <si>
    <t>COMUNTZIS</t>
  </si>
  <si>
    <t>MARK</t>
  </si>
  <si>
    <t>Central-01 2046</t>
  </si>
  <si>
    <t>FILOSA</t>
  </si>
  <si>
    <t>ALEXANDRA</t>
  </si>
  <si>
    <t>Central-11 2046</t>
  </si>
  <si>
    <t>FERRIS</t>
  </si>
  <si>
    <t>JIM</t>
  </si>
  <si>
    <t>HQ-05 2688</t>
  </si>
  <si>
    <t>CHU</t>
  </si>
  <si>
    <t>LAURIE</t>
  </si>
  <si>
    <t>Central-05 2546</t>
  </si>
  <si>
    <t>CHASE</t>
  </si>
  <si>
    <t>FRED</t>
  </si>
  <si>
    <t>HQ-07 2478</t>
  </si>
  <si>
    <t>BINGA</t>
  </si>
  <si>
    <t>HQ-15 2055</t>
  </si>
  <si>
    <t>DESIATO</t>
  </si>
  <si>
    <t>BARBARA</t>
  </si>
  <si>
    <t>Lab-09 2326</t>
  </si>
  <si>
    <t>Erica Decker</t>
  </si>
  <si>
    <t>Angela Barry</t>
  </si>
  <si>
    <t>Daniel Cole</t>
  </si>
  <si>
    <t>Adam Chaffee</t>
  </si>
  <si>
    <t>Susan Donnell</t>
  </si>
  <si>
    <t>Elizabeth Fern</t>
  </si>
  <si>
    <t>Janet Ellis</t>
  </si>
  <si>
    <t>Bob Chung</t>
  </si>
  <si>
    <t>Sabrina Flanders</t>
  </si>
  <si>
    <t>John Clark</t>
  </si>
  <si>
    <t>Mary Boller</t>
  </si>
  <si>
    <t>Elizabeth Carol</t>
  </si>
  <si>
    <t>Anna Clark</t>
  </si>
  <si>
    <t>Joe Clarke</t>
  </si>
  <si>
    <t>Mark Comuntzis</t>
  </si>
  <si>
    <t>Alexandra Filosa</t>
  </si>
  <si>
    <t>Jim Ferris</t>
  </si>
  <si>
    <t>Laurie Chu</t>
  </si>
  <si>
    <t>Fred Chase</t>
  </si>
  <si>
    <t>Mary Binga</t>
  </si>
  <si>
    <t>Barbara Desiato</t>
  </si>
  <si>
    <t>Room 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</si>
</sst>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scheme val="minor"/>
    </font>
    <font>
      <sz val="11"/>
      <color theme="1"/>
      <name val="Calibri"/>
      <scheme val="minor"/>
    </font>
    <font>
      <sz val="11"/>
      <color theme="1"/>
      <name val="Calibri"/>
    </font>
    <font>
      <b/>
      <sz val="13"/>
      <color rgb="FF1F497D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ck">
        <color rgb="FFA6BFDD"/>
      </bottom>
      <diagonal/>
    </border>
  </borders>
  <cellStyleXfs count="1">
    <xf numFmtId="0" fontId="0" fillId="0" borderId="0"/>
  </cellStyleXfs>
  <cellXfs count="10">
    <xf numFmtId="0" fontId="0" fillId="0" borderId="0" xfId="0" applyFont="1" applyAlignment="1"/>
    <xf numFmtId="0" fontId="1" fillId="0" borderId="0" xfId="0" applyFont="1"/>
    <xf numFmtId="14" fontId="2" fillId="0" borderId="0" xfId="0" applyNumberFormat="1" applyFont="1"/>
    <xf numFmtId="0" fontId="3" fillId="0" borderId="1" xfId="0" applyFont="1" applyBorder="1" applyAlignment="1">
      <alignment horizontal="center" vertical="center" wrapText="1"/>
    </xf>
    <xf numFmtId="0" fontId="2" fillId="0" borderId="0" xfId="0" applyFont="1" applyAlignment="1">
      <alignment horizontal="left" wrapText="1"/>
    </xf>
    <xf numFmtId="2" fontId="2" fillId="0" borderId="0" xfId="0" applyNumberFormat="1" applyFont="1"/>
    <xf numFmtId="1" fontId="2" fillId="0" borderId="0" xfId="0" applyNumberFormat="1" applyFont="1"/>
    <xf numFmtId="0" fontId="3" fillId="0" borderId="0" xfId="0" applyFont="1" applyFill="1" applyBorder="1" applyAlignment="1">
      <alignment horizontal="center" vertical="center" wrapText="1"/>
    </xf>
    <xf numFmtId="0" fontId="1" fillId="2" borderId="0" xfId="0" applyFont="1" applyFill="1"/>
    <xf numFmtId="14" fontId="0" fillId="2" borderId="0" xfId="0" applyNumberFormat="1" applyFont="1" applyFill="1" applyAlignment="1"/>
  </cellXfs>
  <cellStyles count="1">
    <cellStyle name="Normal" xfId="0" builtinId="0"/>
  </cellStyles>
  <dxfs count="7"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rgb="FF1F497D"/>
        <name val="Calibri"/>
        <scheme val="none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left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left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19" formatCode="m/d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37D8CB5-67F1-4E41-9005-5CF4A122F0F5}" name="Table1" displayName="Table1" ref="A3:K24" totalsRowShown="0" headerRowDxfId="0">
  <autoFilter ref="A3:K24" xr:uid="{B37D8CB5-67F1-4E41-9005-5CF4A122F0F5}"/>
  <tableColumns count="11">
    <tableColumn id="1" xr3:uid="{35D33A7F-9799-4757-84BC-C8679B1EEC66}" name="Full Name"/>
    <tableColumn id="2" xr3:uid="{FBEB3839-0464-4862-958C-41008310033E}" name="Last" dataDxfId="6"/>
    <tableColumn id="3" xr3:uid="{DFD0370F-7486-4326-9847-10A83417BD7E}" name="First" dataDxfId="5"/>
    <tableColumn id="4" xr3:uid="{A6E5ABE5-2043-4508-B5BB-41AF31B5D6E0}" name="Date of Hire" dataDxfId="4"/>
    <tableColumn id="5" xr3:uid="{868B9DD9-6FBF-4B5B-A9FD-2580F496B5A6}" name="Department" dataDxfId="3"/>
    <tableColumn id="6" xr3:uid="{67C256E0-042B-4C7A-BB17-0C04038FB3A7}" name="Years of Service" dataDxfId="2">
      <calculatedColumnFormula>DATEDIF(D4,TODAY(),"y")</calculatedColumnFormula>
    </tableColumn>
    <tableColumn id="7" xr3:uid="{81AF3E4E-3799-4351-BC65-15B618EBBF81}" name="Office Location" dataDxfId="1"/>
    <tableColumn id="8" xr3:uid="{0C56E49B-81DE-4D83-8C4F-ECBEBF51798A}" name="Extension">
      <calculatedColumnFormula>RIGHT(G4,4)</calculatedColumnFormula>
    </tableColumn>
    <tableColumn id="9" xr3:uid="{D5DF8D83-04DC-4DD8-A7A0-E16C6877320C}" name="Building">
      <calculatedColumnFormula>LEFT(G4,FIND("-",G4)-1)</calculatedColumnFormula>
    </tableColumn>
    <tableColumn id="10" xr3:uid="{07926969-D8BF-4577-8C20-620D18B534D5}" name="EmailID">
      <calculatedColumnFormula>LOWER(C4&amp;B4&amp;"@gmail.com")</calculatedColumnFormula>
    </tableColumn>
    <tableColumn id="11" xr3:uid="{FF245E1A-39BA-4AF2-AFDF-220918C394F9}" name="Room no">
      <calculatedColumnFormula>MID(G4,FIND("-",G4)+1,2)</calculatedColumnFormula>
    </tableColumn>
  </tableColumns>
  <tableStyleInfo name="TableStyleMedium21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000"/>
  <sheetViews>
    <sheetView tabSelected="1" workbookViewId="0">
      <selection activeCell="C7" sqref="C7"/>
    </sheetView>
  </sheetViews>
  <sheetFormatPr defaultColWidth="14.42578125" defaultRowHeight="15" customHeight="1" x14ac:dyDescent="0.25"/>
  <cols>
    <col min="1" max="1" width="16.5703125" customWidth="1"/>
    <col min="2" max="2" width="11.5703125" customWidth="1"/>
    <col min="3" max="3" width="11.7109375" customWidth="1"/>
    <col min="4" max="4" width="15.42578125" customWidth="1"/>
    <col min="5" max="5" width="16.85546875" customWidth="1"/>
    <col min="6" max="6" width="19.140625" customWidth="1"/>
    <col min="7" max="7" width="18.140625" customWidth="1"/>
    <col min="8" max="8" width="13" customWidth="1"/>
    <col min="9" max="9" width="14.7109375" customWidth="1"/>
    <col min="10" max="10" width="26.28515625" bestFit="1" customWidth="1"/>
    <col min="11" max="11" width="12.28515625" customWidth="1"/>
    <col min="12" max="26" width="8.7109375" customWidth="1"/>
  </cols>
  <sheetData>
    <row r="1" spans="1:11" ht="14.25" customHeight="1" x14ac:dyDescent="0.25">
      <c r="H1" s="8" t="s">
        <v>0</v>
      </c>
      <c r="I1" s="9">
        <f ca="1">TODAY()</f>
        <v>46261</v>
      </c>
    </row>
    <row r="2" spans="1:11" ht="14.25" customHeight="1" x14ac:dyDescent="0.25">
      <c r="H2" s="2"/>
    </row>
    <row r="3" spans="1:11" ht="34.5" x14ac:dyDescent="0.25">
      <c r="A3" s="3" t="s">
        <v>1</v>
      </c>
      <c r="B3" s="3" t="s">
        <v>2</v>
      </c>
      <c r="C3" s="3" t="s">
        <v>3</v>
      </c>
      <c r="D3" s="3" t="s">
        <v>4</v>
      </c>
      <c r="E3" s="3" t="s">
        <v>5</v>
      </c>
      <c r="F3" s="3" t="s">
        <v>6</v>
      </c>
      <c r="G3" s="3" t="s">
        <v>7</v>
      </c>
      <c r="H3" s="3" t="s">
        <v>8</v>
      </c>
      <c r="I3" s="3" t="s">
        <v>9</v>
      </c>
      <c r="J3" s="3" t="s">
        <v>10</v>
      </c>
      <c r="K3" s="7" t="s">
        <v>100</v>
      </c>
    </row>
    <row r="4" spans="1:11" ht="14.25" customHeight="1" x14ac:dyDescent="0.25">
      <c r="A4" t="s">
        <v>79</v>
      </c>
      <c r="B4" s="1" t="s">
        <v>11</v>
      </c>
      <c r="C4" s="1" t="s">
        <v>12</v>
      </c>
      <c r="D4" s="2">
        <v>36359</v>
      </c>
      <c r="E4" s="4" t="s">
        <v>13</v>
      </c>
      <c r="F4" s="6">
        <f ca="1">DATEDIF(D4,TODAY(),"y")</f>
        <v>27</v>
      </c>
      <c r="G4" s="4" t="s">
        <v>14</v>
      </c>
      <c r="H4" t="str">
        <f>RIGHT(G4,4)</f>
        <v>2099</v>
      </c>
      <c r="I4" t="str">
        <f>LEFT(G4,FIND("-",G4)-1)</f>
        <v>Lab</v>
      </c>
      <c r="J4" t="str">
        <f>LOWER(C4&amp;B4&amp;"@gmail.com")</f>
        <v>ericadecker@gmail.com</v>
      </c>
      <c r="K4" t="str">
        <f>MID(G4,FIND("-",G4)+1,2)</f>
        <v>02</v>
      </c>
    </row>
    <row r="5" spans="1:11" ht="14.25" customHeight="1" x14ac:dyDescent="0.25">
      <c r="A5" t="s">
        <v>80</v>
      </c>
      <c r="B5" s="1" t="s">
        <v>15</v>
      </c>
      <c r="C5" s="1" t="s">
        <v>16</v>
      </c>
      <c r="D5" s="2">
        <v>36171</v>
      </c>
      <c r="E5" s="4" t="s">
        <v>17</v>
      </c>
      <c r="F5" s="6">
        <f t="shared" ref="F5:F24" ca="1" si="0">DATEDIF(D5,TODAY(),"y")</f>
        <v>27</v>
      </c>
      <c r="G5" s="4" t="s">
        <v>18</v>
      </c>
      <c r="H5" t="str">
        <f t="shared" ref="H5:H24" si="1">RIGHT(G5,4)</f>
        <v>2770</v>
      </c>
      <c r="I5" t="str">
        <f t="shared" ref="I5:I24" si="2">LEFT(G5,FIND("-",G5)-1)</f>
        <v>Central</v>
      </c>
      <c r="J5" t="str">
        <f t="shared" ref="J5:J24" si="3">LOWER(C5&amp;B5&amp;"@gmail.com")</f>
        <v>angelabarry@gmail.com</v>
      </c>
      <c r="K5" t="str">
        <f t="shared" ref="K5:K24" si="4">MID(G5,FIND("-",G5)+1,2)</f>
        <v>02</v>
      </c>
    </row>
    <row r="6" spans="1:11" ht="14.25" customHeight="1" x14ac:dyDescent="0.25">
      <c r="A6" t="s">
        <v>81</v>
      </c>
      <c r="B6" s="1" t="s">
        <v>19</v>
      </c>
      <c r="C6" s="1" t="s">
        <v>20</v>
      </c>
      <c r="D6" s="2">
        <v>36551</v>
      </c>
      <c r="E6" s="4" t="s">
        <v>21</v>
      </c>
      <c r="F6" s="6">
        <f t="shared" ca="1" si="0"/>
        <v>26</v>
      </c>
      <c r="G6" s="4" t="s">
        <v>22</v>
      </c>
      <c r="H6" t="str">
        <f t="shared" si="1"/>
        <v>2544</v>
      </c>
      <c r="I6" t="str">
        <f t="shared" si="2"/>
        <v>Central</v>
      </c>
      <c r="J6" t="str">
        <f t="shared" si="3"/>
        <v>danielcole@gmail.com</v>
      </c>
      <c r="K6" t="str">
        <f t="shared" si="4"/>
        <v>08</v>
      </c>
    </row>
    <row r="7" spans="1:11" ht="14.25" customHeight="1" x14ac:dyDescent="0.25">
      <c r="A7" t="s">
        <v>82</v>
      </c>
      <c r="B7" s="1" t="s">
        <v>23</v>
      </c>
      <c r="C7" s="1" t="s">
        <v>24</v>
      </c>
      <c r="D7" s="2">
        <v>36937</v>
      </c>
      <c r="E7" s="4" t="s">
        <v>25</v>
      </c>
      <c r="F7" s="6">
        <f t="shared" ca="1" si="0"/>
        <v>25</v>
      </c>
      <c r="G7" s="4" t="s">
        <v>26</v>
      </c>
      <c r="H7" t="str">
        <f t="shared" si="1"/>
        <v>2110</v>
      </c>
      <c r="I7" t="str">
        <f t="shared" si="2"/>
        <v>HQ</v>
      </c>
      <c r="J7" t="str">
        <f t="shared" si="3"/>
        <v>adamchaffee@gmail.com</v>
      </c>
      <c r="K7" t="str">
        <f t="shared" si="4"/>
        <v>06</v>
      </c>
    </row>
    <row r="8" spans="1:11" ht="14.25" customHeight="1" x14ac:dyDescent="0.25">
      <c r="A8" t="s">
        <v>83</v>
      </c>
      <c r="B8" s="1" t="s">
        <v>27</v>
      </c>
      <c r="C8" s="1" t="s">
        <v>28</v>
      </c>
      <c r="D8" s="2">
        <v>37378</v>
      </c>
      <c r="E8" s="4" t="s">
        <v>29</v>
      </c>
      <c r="F8" s="6">
        <f t="shared" ca="1" si="0"/>
        <v>24</v>
      </c>
      <c r="G8" s="4" t="s">
        <v>30</v>
      </c>
      <c r="H8" t="str">
        <f t="shared" si="1"/>
        <v>2066</v>
      </c>
      <c r="I8" t="str">
        <f t="shared" si="2"/>
        <v>HQ</v>
      </c>
      <c r="J8" t="str">
        <f t="shared" si="3"/>
        <v>susandonnell@gmail.com</v>
      </c>
      <c r="K8" t="str">
        <f t="shared" si="4"/>
        <v>04</v>
      </c>
    </row>
    <row r="9" spans="1:11" ht="14.25" customHeight="1" x14ac:dyDescent="0.25">
      <c r="A9" t="s">
        <v>84</v>
      </c>
      <c r="B9" s="1" t="s">
        <v>31</v>
      </c>
      <c r="C9" s="1" t="s">
        <v>32</v>
      </c>
      <c r="D9" s="2">
        <v>37841</v>
      </c>
      <c r="E9" s="4" t="s">
        <v>33</v>
      </c>
      <c r="F9" s="6">
        <f t="shared" ca="1" si="0"/>
        <v>23</v>
      </c>
      <c r="G9" s="4" t="s">
        <v>34</v>
      </c>
      <c r="H9" t="str">
        <f t="shared" si="1"/>
        <v>2511</v>
      </c>
      <c r="I9" t="str">
        <f t="shared" si="2"/>
        <v>HQ</v>
      </c>
      <c r="J9" t="str">
        <f t="shared" si="3"/>
        <v>elizabethfern@gmail.com</v>
      </c>
      <c r="K9" t="str">
        <f t="shared" si="4"/>
        <v>08</v>
      </c>
    </row>
    <row r="10" spans="1:11" ht="14.25" customHeight="1" x14ac:dyDescent="0.25">
      <c r="A10" t="s">
        <v>85</v>
      </c>
      <c r="B10" s="1" t="s">
        <v>35</v>
      </c>
      <c r="C10" s="1" t="s">
        <v>36</v>
      </c>
      <c r="D10" s="2">
        <v>38982</v>
      </c>
      <c r="E10" s="4" t="s">
        <v>29</v>
      </c>
      <c r="F10" s="6">
        <f t="shared" ca="1" si="0"/>
        <v>19</v>
      </c>
      <c r="G10" s="4" t="s">
        <v>37</v>
      </c>
      <c r="H10" t="str">
        <f t="shared" si="1"/>
        <v>2665</v>
      </c>
      <c r="I10" t="str">
        <f t="shared" si="2"/>
        <v>HQ</v>
      </c>
      <c r="J10" t="str">
        <f t="shared" si="3"/>
        <v>janetellis@gmail.com</v>
      </c>
      <c r="K10" t="str">
        <f t="shared" si="4"/>
        <v>09</v>
      </c>
    </row>
    <row r="11" spans="1:11" ht="14.25" customHeight="1" x14ac:dyDescent="0.25">
      <c r="A11" t="s">
        <v>86</v>
      </c>
      <c r="B11" s="1" t="s">
        <v>38</v>
      </c>
      <c r="C11" s="1" t="s">
        <v>39</v>
      </c>
      <c r="D11" s="2">
        <v>39769</v>
      </c>
      <c r="E11" s="4" t="s">
        <v>29</v>
      </c>
      <c r="F11" s="6">
        <f t="shared" ca="1" si="0"/>
        <v>17</v>
      </c>
      <c r="G11" s="4" t="s">
        <v>40</v>
      </c>
      <c r="H11" t="str">
        <f t="shared" si="1"/>
        <v>2667</v>
      </c>
      <c r="I11" t="str">
        <f t="shared" si="2"/>
        <v>HQ</v>
      </c>
      <c r="J11" t="str">
        <f t="shared" si="3"/>
        <v>bobchung@gmail.com</v>
      </c>
      <c r="K11" t="str">
        <f t="shared" si="4"/>
        <v>03</v>
      </c>
    </row>
    <row r="12" spans="1:11" ht="14.25" customHeight="1" x14ac:dyDescent="0.25">
      <c r="A12" t="s">
        <v>87</v>
      </c>
      <c r="B12" s="1" t="s">
        <v>41</v>
      </c>
      <c r="C12" s="1" t="s">
        <v>42</v>
      </c>
      <c r="D12" s="2">
        <v>39965</v>
      </c>
      <c r="E12" s="4" t="s">
        <v>21</v>
      </c>
      <c r="F12" s="6">
        <f t="shared" ca="1" si="0"/>
        <v>17</v>
      </c>
      <c r="G12" s="4" t="s">
        <v>43</v>
      </c>
      <c r="H12" t="str">
        <f t="shared" si="1"/>
        <v>2967</v>
      </c>
      <c r="I12" t="str">
        <f t="shared" si="2"/>
        <v>Central</v>
      </c>
      <c r="J12" t="str">
        <f t="shared" si="3"/>
        <v>sabrinaflanders@gmail.com</v>
      </c>
      <c r="K12" t="str">
        <f t="shared" si="4"/>
        <v>12</v>
      </c>
    </row>
    <row r="13" spans="1:11" ht="14.25" customHeight="1" x14ac:dyDescent="0.25">
      <c r="A13" t="s">
        <v>88</v>
      </c>
      <c r="B13" s="1" t="s">
        <v>44</v>
      </c>
      <c r="C13" s="1" t="s">
        <v>45</v>
      </c>
      <c r="D13" s="2">
        <v>39330</v>
      </c>
      <c r="E13" s="4" t="s">
        <v>29</v>
      </c>
      <c r="F13" s="6">
        <f t="shared" ca="1" si="0"/>
        <v>18</v>
      </c>
      <c r="G13" s="4" t="s">
        <v>46</v>
      </c>
      <c r="H13" t="str">
        <f t="shared" si="1"/>
        <v>2700</v>
      </c>
      <c r="I13" t="str">
        <f t="shared" si="2"/>
        <v>HQ</v>
      </c>
      <c r="J13" t="str">
        <f t="shared" si="3"/>
        <v>johnclark@gmail.com</v>
      </c>
      <c r="K13" t="str">
        <f t="shared" si="4"/>
        <v>10</v>
      </c>
    </row>
    <row r="14" spans="1:11" ht="14.25" customHeight="1" x14ac:dyDescent="0.25">
      <c r="A14" t="s">
        <v>89</v>
      </c>
      <c r="B14" s="1" t="s">
        <v>47</v>
      </c>
      <c r="C14" s="1" t="s">
        <v>48</v>
      </c>
      <c r="D14" s="2">
        <v>37043</v>
      </c>
      <c r="E14" s="4" t="s">
        <v>29</v>
      </c>
      <c r="F14" s="6">
        <f t="shared" ca="1" si="0"/>
        <v>25</v>
      </c>
      <c r="G14" s="4" t="s">
        <v>49</v>
      </c>
      <c r="H14" t="str">
        <f t="shared" si="1"/>
        <v>2678</v>
      </c>
      <c r="I14" t="str">
        <f t="shared" si="2"/>
        <v>HQ</v>
      </c>
      <c r="J14" t="str">
        <f t="shared" si="3"/>
        <v>maryboller@gmail.com</v>
      </c>
      <c r="K14" t="str">
        <f t="shared" si="4"/>
        <v>11</v>
      </c>
    </row>
    <row r="15" spans="1:11" ht="14.25" customHeight="1" x14ac:dyDescent="0.25">
      <c r="A15" t="s">
        <v>90</v>
      </c>
      <c r="B15" s="1" t="s">
        <v>50</v>
      </c>
      <c r="C15" s="1" t="s">
        <v>32</v>
      </c>
      <c r="D15" s="2">
        <v>39575</v>
      </c>
      <c r="E15" s="4" t="s">
        <v>51</v>
      </c>
      <c r="F15" s="6">
        <f t="shared" ca="1" si="0"/>
        <v>18</v>
      </c>
      <c r="G15" s="4" t="s">
        <v>52</v>
      </c>
      <c r="H15" t="str">
        <f t="shared" si="1"/>
        <v>2089</v>
      </c>
      <c r="I15" t="str">
        <f t="shared" si="2"/>
        <v>HQ</v>
      </c>
      <c r="J15" t="str">
        <f t="shared" si="3"/>
        <v>elizabethcarol@gmail.com</v>
      </c>
      <c r="K15" t="str">
        <f t="shared" si="4"/>
        <v>01</v>
      </c>
    </row>
    <row r="16" spans="1:11" ht="14.25" customHeight="1" x14ac:dyDescent="0.25">
      <c r="A16" t="s">
        <v>91</v>
      </c>
      <c r="B16" s="1" t="s">
        <v>44</v>
      </c>
      <c r="C16" s="1" t="s">
        <v>53</v>
      </c>
      <c r="D16" s="2">
        <v>37895</v>
      </c>
      <c r="E16" s="4" t="s">
        <v>21</v>
      </c>
      <c r="F16" s="6">
        <f t="shared" ca="1" si="0"/>
        <v>22</v>
      </c>
      <c r="G16" s="4" t="s">
        <v>54</v>
      </c>
      <c r="H16" t="str">
        <f t="shared" si="1"/>
        <v>2547</v>
      </c>
      <c r="I16" t="str">
        <f t="shared" si="2"/>
        <v>Central</v>
      </c>
      <c r="J16" t="str">
        <f t="shared" si="3"/>
        <v>annaclark@gmail.com</v>
      </c>
      <c r="K16" t="str">
        <f t="shared" si="4"/>
        <v>07</v>
      </c>
    </row>
    <row r="17" spans="1:11" ht="14.25" customHeight="1" x14ac:dyDescent="0.25">
      <c r="A17" t="s">
        <v>92</v>
      </c>
      <c r="B17" s="1" t="s">
        <v>55</v>
      </c>
      <c r="C17" s="1" t="s">
        <v>56</v>
      </c>
      <c r="D17" s="2">
        <v>38065</v>
      </c>
      <c r="E17" s="4" t="s">
        <v>57</v>
      </c>
      <c r="F17" s="6">
        <f t="shared" ca="1" si="0"/>
        <v>22</v>
      </c>
      <c r="G17" s="4" t="s">
        <v>58</v>
      </c>
      <c r="H17" t="str">
        <f t="shared" si="1"/>
        <v>2109</v>
      </c>
      <c r="I17" t="str">
        <f t="shared" si="2"/>
        <v>HQ</v>
      </c>
      <c r="J17" t="str">
        <f t="shared" si="3"/>
        <v>joeclarke@gmail.com</v>
      </c>
      <c r="K17" t="str">
        <f t="shared" si="4"/>
        <v>02</v>
      </c>
    </row>
    <row r="18" spans="1:11" ht="14.25" customHeight="1" x14ac:dyDescent="0.25">
      <c r="A18" t="s">
        <v>93</v>
      </c>
      <c r="B18" s="1" t="s">
        <v>59</v>
      </c>
      <c r="C18" s="1" t="s">
        <v>60</v>
      </c>
      <c r="D18" s="2">
        <v>38489</v>
      </c>
      <c r="E18" s="4" t="s">
        <v>17</v>
      </c>
      <c r="F18" s="6">
        <f t="shared" ca="1" si="0"/>
        <v>21</v>
      </c>
      <c r="G18" s="4" t="s">
        <v>61</v>
      </c>
      <c r="H18" t="str">
        <f t="shared" si="1"/>
        <v>2046</v>
      </c>
      <c r="I18" t="str">
        <f t="shared" si="2"/>
        <v>Central</v>
      </c>
      <c r="J18" t="str">
        <f t="shared" si="3"/>
        <v>markcomuntzis@gmail.com</v>
      </c>
      <c r="K18" t="str">
        <f t="shared" si="4"/>
        <v>01</v>
      </c>
    </row>
    <row r="19" spans="1:11" ht="14.25" customHeight="1" x14ac:dyDescent="0.25">
      <c r="A19" t="s">
        <v>94</v>
      </c>
      <c r="B19" s="1" t="s">
        <v>62</v>
      </c>
      <c r="C19" s="1" t="s">
        <v>63</v>
      </c>
      <c r="D19" s="2">
        <v>37546</v>
      </c>
      <c r="E19" s="4" t="s">
        <v>17</v>
      </c>
      <c r="F19" s="6">
        <f t="shared" ca="1" si="0"/>
        <v>23</v>
      </c>
      <c r="G19" s="4" t="s">
        <v>64</v>
      </c>
      <c r="H19" t="str">
        <f t="shared" si="1"/>
        <v>2046</v>
      </c>
      <c r="I19" t="str">
        <f t="shared" si="2"/>
        <v>Central</v>
      </c>
      <c r="J19" t="str">
        <f t="shared" si="3"/>
        <v>alexandrafilosa@gmail.com</v>
      </c>
      <c r="K19" t="str">
        <f t="shared" si="4"/>
        <v>11</v>
      </c>
    </row>
    <row r="20" spans="1:11" ht="14.25" customHeight="1" x14ac:dyDescent="0.25">
      <c r="A20" t="s">
        <v>95</v>
      </c>
      <c r="B20" s="1" t="s">
        <v>65</v>
      </c>
      <c r="C20" s="1" t="s">
        <v>66</v>
      </c>
      <c r="D20" s="2">
        <v>37350</v>
      </c>
      <c r="E20" s="4" t="s">
        <v>29</v>
      </c>
      <c r="F20" s="6">
        <f t="shared" ca="1" si="0"/>
        <v>24</v>
      </c>
      <c r="G20" s="4" t="s">
        <v>67</v>
      </c>
      <c r="H20" t="str">
        <f t="shared" si="1"/>
        <v>2688</v>
      </c>
      <c r="I20" t="str">
        <f t="shared" si="2"/>
        <v>HQ</v>
      </c>
      <c r="J20" t="str">
        <f t="shared" si="3"/>
        <v>jimferris@gmail.com</v>
      </c>
      <c r="K20" t="str">
        <f t="shared" si="4"/>
        <v>05</v>
      </c>
    </row>
    <row r="21" spans="1:11" ht="14.25" customHeight="1" x14ac:dyDescent="0.25">
      <c r="A21" t="s">
        <v>96</v>
      </c>
      <c r="B21" s="1" t="s">
        <v>68</v>
      </c>
      <c r="C21" s="1" t="s">
        <v>69</v>
      </c>
      <c r="D21" s="2">
        <v>39022</v>
      </c>
      <c r="E21" s="4" t="s">
        <v>21</v>
      </c>
      <c r="F21" s="6">
        <f t="shared" ca="1" si="0"/>
        <v>19</v>
      </c>
      <c r="G21" s="4" t="s">
        <v>70</v>
      </c>
      <c r="H21" t="str">
        <f t="shared" si="1"/>
        <v>2546</v>
      </c>
      <c r="I21" t="str">
        <f t="shared" si="2"/>
        <v>Central</v>
      </c>
      <c r="J21" t="str">
        <f t="shared" si="3"/>
        <v>lauriechu@gmail.com</v>
      </c>
      <c r="K21" t="str">
        <f t="shared" si="4"/>
        <v>05</v>
      </c>
    </row>
    <row r="22" spans="1:11" ht="14.25" customHeight="1" x14ac:dyDescent="0.25">
      <c r="A22" t="s">
        <v>97</v>
      </c>
      <c r="B22" s="1" t="s">
        <v>71</v>
      </c>
      <c r="C22" s="1" t="s">
        <v>72</v>
      </c>
      <c r="D22" s="2">
        <v>39797</v>
      </c>
      <c r="E22" s="4" t="s">
        <v>33</v>
      </c>
      <c r="F22" s="6">
        <f t="shared" ca="1" si="0"/>
        <v>17</v>
      </c>
      <c r="G22" s="4" t="s">
        <v>73</v>
      </c>
      <c r="H22" t="str">
        <f t="shared" si="1"/>
        <v>2478</v>
      </c>
      <c r="I22" t="str">
        <f t="shared" si="2"/>
        <v>HQ</v>
      </c>
      <c r="J22" t="str">
        <f t="shared" si="3"/>
        <v>fredchase@gmail.com</v>
      </c>
      <c r="K22" t="str">
        <f t="shared" si="4"/>
        <v>07</v>
      </c>
    </row>
    <row r="23" spans="1:11" ht="14.25" customHeight="1" x14ac:dyDescent="0.25">
      <c r="A23" t="s">
        <v>98</v>
      </c>
      <c r="B23" s="1" t="s">
        <v>74</v>
      </c>
      <c r="C23" s="1" t="s">
        <v>48</v>
      </c>
      <c r="D23" s="2">
        <v>39205</v>
      </c>
      <c r="E23" s="4" t="s">
        <v>33</v>
      </c>
      <c r="F23" s="6">
        <f t="shared" ca="1" si="0"/>
        <v>19</v>
      </c>
      <c r="G23" s="4" t="s">
        <v>75</v>
      </c>
      <c r="H23" t="str">
        <f t="shared" si="1"/>
        <v>2055</v>
      </c>
      <c r="I23" t="str">
        <f t="shared" si="2"/>
        <v>HQ</v>
      </c>
      <c r="J23" t="str">
        <f t="shared" si="3"/>
        <v>marybinga@gmail.com</v>
      </c>
      <c r="K23" t="str">
        <f t="shared" si="4"/>
        <v>15</v>
      </c>
    </row>
    <row r="24" spans="1:11" ht="14.25" customHeight="1" x14ac:dyDescent="0.25">
      <c r="A24" t="s">
        <v>99</v>
      </c>
      <c r="B24" s="1" t="s">
        <v>76</v>
      </c>
      <c r="C24" s="1" t="s">
        <v>77</v>
      </c>
      <c r="D24" s="2">
        <v>40343</v>
      </c>
      <c r="E24" s="1" t="s">
        <v>13</v>
      </c>
      <c r="F24" s="6">
        <f t="shared" ca="1" si="0"/>
        <v>16</v>
      </c>
      <c r="G24" s="4" t="s">
        <v>78</v>
      </c>
      <c r="H24" t="str">
        <f t="shared" si="1"/>
        <v>2326</v>
      </c>
      <c r="I24" t="str">
        <f t="shared" si="2"/>
        <v>Lab</v>
      </c>
      <c r="J24" t="str">
        <f t="shared" si="3"/>
        <v>barbaradesiato@gmail.com</v>
      </c>
      <c r="K24" t="str">
        <f t="shared" si="4"/>
        <v>09</v>
      </c>
    </row>
    <row r="25" spans="1:11" ht="14.25" customHeight="1" x14ac:dyDescent="0.25">
      <c r="F25" s="5"/>
    </row>
    <row r="26" spans="1:11" ht="14.25" customHeight="1" x14ac:dyDescent="0.25">
      <c r="F26" s="5"/>
    </row>
    <row r="27" spans="1:11" ht="14.25" customHeight="1" x14ac:dyDescent="0.25">
      <c r="F27" s="5"/>
    </row>
    <row r="28" spans="1:11" ht="14.25" customHeight="1" x14ac:dyDescent="0.25">
      <c r="F28" s="5"/>
    </row>
    <row r="29" spans="1:11" ht="14.25" customHeight="1" x14ac:dyDescent="0.25">
      <c r="F29" s="5"/>
    </row>
    <row r="30" spans="1:11" ht="14.25" customHeight="1" x14ac:dyDescent="0.25">
      <c r="F30" s="5"/>
    </row>
    <row r="31" spans="1:11" ht="14.25" customHeight="1" x14ac:dyDescent="0.25">
      <c r="F31" s="5"/>
    </row>
    <row r="32" spans="1:11" ht="14.25" customHeight="1" x14ac:dyDescent="0.25"/>
    <row r="33" ht="14.25" customHeight="1" x14ac:dyDescent="0.25"/>
    <row r="34" ht="14.25" customHeight="1" x14ac:dyDescent="0.25"/>
    <row r="35" ht="14.25" customHeight="1" x14ac:dyDescent="0.25"/>
    <row r="36" ht="14.25" customHeight="1" x14ac:dyDescent="0.25"/>
    <row r="37" ht="14.25" customHeight="1" x14ac:dyDescent="0.25"/>
    <row r="38" ht="14.25" customHeight="1" x14ac:dyDescent="0.25"/>
    <row r="39" ht="14.25" customHeight="1" x14ac:dyDescent="0.25"/>
    <row r="40" ht="14.25" customHeight="1" x14ac:dyDescent="0.25"/>
    <row r="41" ht="14.25" customHeight="1" x14ac:dyDescent="0.25"/>
    <row r="42" ht="14.25" customHeight="1" x14ac:dyDescent="0.25"/>
    <row r="43" ht="14.25" customHeight="1" x14ac:dyDescent="0.25"/>
    <row r="44" ht="14.25" customHeight="1" x14ac:dyDescent="0.25"/>
    <row r="45" ht="14.25" customHeight="1" x14ac:dyDescent="0.25"/>
    <row r="46" ht="14.25" customHeight="1" x14ac:dyDescent="0.25"/>
    <row r="47" ht="14.25" customHeight="1" x14ac:dyDescent="0.25"/>
    <row r="48" ht="14.25" customHeight="1" x14ac:dyDescent="0.25"/>
    <row r="49" ht="14.25" customHeight="1" x14ac:dyDescent="0.25"/>
    <row r="50" ht="14.25" customHeight="1" x14ac:dyDescent="0.25"/>
    <row r="51" ht="14.25" customHeight="1" x14ac:dyDescent="0.25"/>
    <row r="52" ht="14.25" customHeight="1" x14ac:dyDescent="0.25"/>
    <row r="53" ht="14.25" customHeight="1" x14ac:dyDescent="0.25"/>
    <row r="54" ht="14.25" customHeight="1" x14ac:dyDescent="0.25"/>
    <row r="55" ht="14.25" customHeight="1" x14ac:dyDescent="0.25"/>
    <row r="56" ht="14.25" customHeight="1" x14ac:dyDescent="0.25"/>
    <row r="57" ht="14.25" customHeight="1" x14ac:dyDescent="0.25"/>
    <row r="58" ht="14.25" customHeight="1" x14ac:dyDescent="0.25"/>
    <row r="59" ht="14.25" customHeight="1" x14ac:dyDescent="0.25"/>
    <row r="60" ht="14.25" customHeight="1" x14ac:dyDescent="0.25"/>
    <row r="61" ht="14.25" customHeight="1" x14ac:dyDescent="0.25"/>
    <row r="62" ht="14.25" customHeight="1" x14ac:dyDescent="0.25"/>
    <row r="63" ht="14.25" customHeight="1" x14ac:dyDescent="0.25"/>
    <row r="64" ht="14.25" customHeight="1" x14ac:dyDescent="0.25"/>
    <row r="65" ht="14.25" customHeight="1" x14ac:dyDescent="0.25"/>
    <row r="66" ht="14.25" customHeight="1" x14ac:dyDescent="0.25"/>
    <row r="67" ht="14.25" customHeight="1" x14ac:dyDescent="0.25"/>
    <row r="68" ht="14.25" customHeight="1" x14ac:dyDescent="0.25"/>
    <row r="69" ht="14.25" customHeight="1" x14ac:dyDescent="0.25"/>
    <row r="70" ht="14.25" customHeight="1" x14ac:dyDescent="0.25"/>
    <row r="71" ht="14.25" customHeight="1" x14ac:dyDescent="0.25"/>
    <row r="72" ht="14.25" customHeight="1" x14ac:dyDescent="0.25"/>
    <row r="73" ht="14.25" customHeight="1" x14ac:dyDescent="0.25"/>
    <row r="74" ht="14.25" customHeight="1" x14ac:dyDescent="0.25"/>
    <row r="75" ht="14.25" customHeight="1" x14ac:dyDescent="0.25"/>
    <row r="76" ht="14.25" customHeight="1" x14ac:dyDescent="0.25"/>
    <row r="77" ht="14.25" customHeight="1" x14ac:dyDescent="0.25"/>
    <row r="78" ht="14.25" customHeight="1" x14ac:dyDescent="0.25"/>
    <row r="79" ht="14.25" customHeight="1" x14ac:dyDescent="0.25"/>
    <row r="80" ht="14.25" customHeight="1" x14ac:dyDescent="0.25"/>
    <row r="81" ht="14.25" customHeight="1" x14ac:dyDescent="0.25"/>
    <row r="82" ht="14.25" customHeight="1" x14ac:dyDescent="0.25"/>
    <row r="83" ht="14.25" customHeight="1" x14ac:dyDescent="0.25"/>
    <row r="84" ht="14.25" customHeight="1" x14ac:dyDescent="0.25"/>
    <row r="85" ht="14.25" customHeight="1" x14ac:dyDescent="0.25"/>
    <row r="86" ht="14.25" customHeight="1" x14ac:dyDescent="0.25"/>
    <row r="87" ht="14.25" customHeight="1" x14ac:dyDescent="0.25"/>
    <row r="88" ht="14.25" customHeight="1" x14ac:dyDescent="0.25"/>
    <row r="89" ht="14.25" customHeight="1" x14ac:dyDescent="0.25"/>
    <row r="90" ht="14.25" customHeight="1" x14ac:dyDescent="0.25"/>
    <row r="91" ht="14.25" customHeight="1" x14ac:dyDescent="0.25"/>
    <row r="92" ht="14.25" customHeight="1" x14ac:dyDescent="0.25"/>
    <row r="93" ht="14.25" customHeight="1" x14ac:dyDescent="0.25"/>
    <row r="94" ht="14.25" customHeight="1" x14ac:dyDescent="0.25"/>
    <row r="95" ht="14.25" customHeight="1" x14ac:dyDescent="0.25"/>
    <row r="96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4.25" customHeight="1" x14ac:dyDescent="0.25"/>
    <row r="102" ht="14.25" customHeight="1" x14ac:dyDescent="0.25"/>
    <row r="103" ht="14.25" customHeight="1" x14ac:dyDescent="0.25"/>
    <row r="104" ht="14.25" customHeight="1" x14ac:dyDescent="0.25"/>
    <row r="105" ht="14.25" customHeight="1" x14ac:dyDescent="0.25"/>
    <row r="106" ht="14.25" customHeight="1" x14ac:dyDescent="0.25"/>
    <row r="107" ht="14.25" customHeight="1" x14ac:dyDescent="0.25"/>
    <row r="108" ht="14.25" customHeight="1" x14ac:dyDescent="0.25"/>
    <row r="109" ht="14.25" customHeight="1" x14ac:dyDescent="0.25"/>
    <row r="110" ht="14.25" customHeight="1" x14ac:dyDescent="0.25"/>
    <row r="111" ht="14.25" customHeight="1" x14ac:dyDescent="0.25"/>
    <row r="112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4.25" customHeight="1" x14ac:dyDescent="0.25"/>
    <row r="218" ht="14.25" customHeight="1" x14ac:dyDescent="0.25"/>
    <row r="219" ht="14.25" customHeight="1" x14ac:dyDescent="0.25"/>
    <row r="220" ht="14.25" customHeight="1" x14ac:dyDescent="0.25"/>
    <row r="221" ht="14.25" customHeight="1" x14ac:dyDescent="0.25"/>
    <row r="222" ht="14.25" customHeight="1" x14ac:dyDescent="0.25"/>
    <row r="223" ht="14.25" customHeight="1" x14ac:dyDescent="0.25"/>
    <row r="224" ht="14.25" customHeight="1" x14ac:dyDescent="0.25"/>
    <row r="225" ht="14.25" customHeight="1" x14ac:dyDescent="0.25"/>
    <row r="226" ht="14.25" customHeight="1" x14ac:dyDescent="0.25"/>
    <row r="227" ht="14.25" customHeight="1" x14ac:dyDescent="0.25"/>
    <row r="228" ht="14.25" customHeight="1" x14ac:dyDescent="0.25"/>
    <row r="229" ht="14.25" customHeight="1" x14ac:dyDescent="0.25"/>
    <row r="230" ht="14.25" customHeight="1" x14ac:dyDescent="0.25"/>
    <row r="231" ht="14.25" customHeight="1" x14ac:dyDescent="0.25"/>
    <row r="232" ht="14.25" customHeight="1" x14ac:dyDescent="0.25"/>
    <row r="233" ht="14.25" customHeight="1" x14ac:dyDescent="0.25"/>
    <row r="234" ht="14.25" customHeight="1" x14ac:dyDescent="0.25"/>
    <row r="235" ht="14.25" customHeight="1" x14ac:dyDescent="0.25"/>
    <row r="236" ht="14.25" customHeight="1" x14ac:dyDescent="0.25"/>
    <row r="237" ht="14.25" customHeight="1" x14ac:dyDescent="0.25"/>
    <row r="238" ht="14.25" customHeight="1" x14ac:dyDescent="0.25"/>
    <row r="239" ht="14.25" customHeight="1" x14ac:dyDescent="0.25"/>
    <row r="240" ht="14.25" customHeight="1" x14ac:dyDescent="0.25"/>
    <row r="241" ht="14.25" customHeight="1" x14ac:dyDescent="0.25"/>
    <row r="242" ht="14.25" customHeight="1" x14ac:dyDescent="0.25"/>
    <row r="243" ht="14.25" customHeight="1" x14ac:dyDescent="0.25"/>
    <row r="244" ht="14.25" customHeight="1" x14ac:dyDescent="0.25"/>
    <row r="245" ht="14.25" customHeight="1" x14ac:dyDescent="0.25"/>
    <row r="246" ht="14.25" customHeight="1" x14ac:dyDescent="0.25"/>
    <row r="247" ht="14.25" customHeight="1" x14ac:dyDescent="0.25"/>
    <row r="248" ht="14.25" customHeight="1" x14ac:dyDescent="0.25"/>
    <row r="249" ht="14.25" customHeight="1" x14ac:dyDescent="0.25"/>
    <row r="250" ht="14.25" customHeight="1" x14ac:dyDescent="0.25"/>
    <row r="251" ht="14.25" customHeight="1" x14ac:dyDescent="0.25"/>
    <row r="252" ht="14.25" customHeight="1" x14ac:dyDescent="0.25"/>
    <row r="253" ht="14.25" customHeight="1" x14ac:dyDescent="0.25"/>
    <row r="254" ht="14.25" customHeight="1" x14ac:dyDescent="0.25"/>
    <row r="255" ht="14.25" customHeight="1" x14ac:dyDescent="0.25"/>
    <row r="256" ht="14.25" customHeight="1" x14ac:dyDescent="0.25"/>
    <row r="257" ht="14.25" customHeight="1" x14ac:dyDescent="0.25"/>
    <row r="258" ht="14.25" customHeight="1" x14ac:dyDescent="0.25"/>
    <row r="259" ht="14.25" customHeight="1" x14ac:dyDescent="0.25"/>
    <row r="260" ht="14.25" customHeight="1" x14ac:dyDescent="0.25"/>
    <row r="261" ht="14.25" customHeight="1" x14ac:dyDescent="0.25"/>
    <row r="262" ht="14.25" customHeight="1" x14ac:dyDescent="0.25"/>
    <row r="263" ht="14.25" customHeight="1" x14ac:dyDescent="0.25"/>
    <row r="264" ht="14.25" customHeight="1" x14ac:dyDescent="0.25"/>
    <row r="265" ht="14.25" customHeight="1" x14ac:dyDescent="0.25"/>
    <row r="266" ht="14.25" customHeight="1" x14ac:dyDescent="0.25"/>
    <row r="267" ht="14.25" customHeight="1" x14ac:dyDescent="0.25"/>
    <row r="268" ht="14.25" customHeight="1" x14ac:dyDescent="0.25"/>
    <row r="269" ht="14.25" customHeight="1" x14ac:dyDescent="0.25"/>
    <row r="270" ht="14.25" customHeight="1" x14ac:dyDescent="0.25"/>
    <row r="271" ht="14.25" customHeight="1" x14ac:dyDescent="0.25"/>
    <row r="272" ht="14.25" customHeight="1" x14ac:dyDescent="0.25"/>
    <row r="273" ht="14.25" customHeight="1" x14ac:dyDescent="0.25"/>
    <row r="274" ht="14.25" customHeight="1" x14ac:dyDescent="0.25"/>
    <row r="275" ht="14.25" customHeight="1" x14ac:dyDescent="0.25"/>
    <row r="276" ht="14.25" customHeight="1" x14ac:dyDescent="0.25"/>
    <row r="277" ht="14.25" customHeight="1" x14ac:dyDescent="0.25"/>
    <row r="278" ht="14.25" customHeight="1" x14ac:dyDescent="0.25"/>
    <row r="279" ht="14.25" customHeight="1" x14ac:dyDescent="0.25"/>
    <row r="280" ht="14.25" customHeight="1" x14ac:dyDescent="0.25"/>
    <row r="281" ht="14.25" customHeight="1" x14ac:dyDescent="0.25"/>
    <row r="282" ht="14.25" customHeight="1" x14ac:dyDescent="0.25"/>
    <row r="283" ht="14.25" customHeight="1" x14ac:dyDescent="0.25"/>
    <row r="284" ht="14.25" customHeight="1" x14ac:dyDescent="0.25"/>
    <row r="285" ht="14.25" customHeight="1" x14ac:dyDescent="0.25"/>
    <row r="286" ht="14.25" customHeight="1" x14ac:dyDescent="0.25"/>
    <row r="287" ht="14.25" customHeight="1" x14ac:dyDescent="0.25"/>
    <row r="288" ht="14.25" customHeight="1" x14ac:dyDescent="0.25"/>
    <row r="289" ht="14.25" customHeight="1" x14ac:dyDescent="0.25"/>
    <row r="290" ht="14.25" customHeight="1" x14ac:dyDescent="0.25"/>
    <row r="291" ht="14.25" customHeight="1" x14ac:dyDescent="0.25"/>
    <row r="292" ht="14.25" customHeight="1" x14ac:dyDescent="0.25"/>
    <row r="293" ht="14.25" customHeight="1" x14ac:dyDescent="0.25"/>
    <row r="294" ht="14.25" customHeight="1" x14ac:dyDescent="0.25"/>
    <row r="295" ht="14.25" customHeight="1" x14ac:dyDescent="0.25"/>
    <row r="296" ht="14.25" customHeight="1" x14ac:dyDescent="0.25"/>
    <row r="297" ht="14.25" customHeight="1" x14ac:dyDescent="0.25"/>
    <row r="298" ht="14.25" customHeight="1" x14ac:dyDescent="0.25"/>
    <row r="299" ht="14.25" customHeight="1" x14ac:dyDescent="0.25"/>
    <row r="300" ht="14.25" customHeight="1" x14ac:dyDescent="0.25"/>
    <row r="301" ht="14.25" customHeight="1" x14ac:dyDescent="0.25"/>
    <row r="302" ht="14.25" customHeight="1" x14ac:dyDescent="0.25"/>
    <row r="303" ht="14.25" customHeight="1" x14ac:dyDescent="0.25"/>
    <row r="304" ht="14.25" customHeight="1" x14ac:dyDescent="0.25"/>
    <row r="305" ht="14.25" customHeight="1" x14ac:dyDescent="0.25"/>
    <row r="306" ht="14.25" customHeight="1" x14ac:dyDescent="0.25"/>
    <row r="307" ht="14.25" customHeight="1" x14ac:dyDescent="0.25"/>
    <row r="308" ht="14.25" customHeight="1" x14ac:dyDescent="0.25"/>
    <row r="309" ht="14.25" customHeight="1" x14ac:dyDescent="0.25"/>
    <row r="310" ht="14.25" customHeight="1" x14ac:dyDescent="0.25"/>
    <row r="311" ht="14.25" customHeight="1" x14ac:dyDescent="0.25"/>
    <row r="312" ht="14.25" customHeight="1" x14ac:dyDescent="0.25"/>
    <row r="313" ht="14.25" customHeight="1" x14ac:dyDescent="0.25"/>
    <row r="314" ht="14.25" customHeight="1" x14ac:dyDescent="0.25"/>
    <row r="315" ht="14.25" customHeight="1" x14ac:dyDescent="0.25"/>
    <row r="316" ht="14.25" customHeight="1" x14ac:dyDescent="0.25"/>
    <row r="317" ht="14.25" customHeight="1" x14ac:dyDescent="0.25"/>
    <row r="318" ht="14.25" customHeight="1" x14ac:dyDescent="0.25"/>
    <row r="319" ht="14.25" customHeight="1" x14ac:dyDescent="0.25"/>
    <row r="320" ht="14.25" customHeight="1" x14ac:dyDescent="0.25"/>
    <row r="321" ht="14.25" customHeight="1" x14ac:dyDescent="0.25"/>
    <row r="322" ht="14.25" customHeight="1" x14ac:dyDescent="0.25"/>
    <row r="323" ht="14.25" customHeight="1" x14ac:dyDescent="0.25"/>
    <row r="324" ht="14.25" customHeight="1" x14ac:dyDescent="0.25"/>
    <row r="325" ht="14.25" customHeight="1" x14ac:dyDescent="0.25"/>
    <row r="326" ht="14.25" customHeight="1" x14ac:dyDescent="0.25"/>
    <row r="327" ht="14.25" customHeight="1" x14ac:dyDescent="0.25"/>
    <row r="328" ht="14.25" customHeight="1" x14ac:dyDescent="0.25"/>
    <row r="329" ht="14.25" customHeight="1" x14ac:dyDescent="0.25"/>
    <row r="330" ht="14.25" customHeight="1" x14ac:dyDescent="0.25"/>
    <row r="331" ht="14.25" customHeight="1" x14ac:dyDescent="0.25"/>
    <row r="332" ht="14.25" customHeight="1" x14ac:dyDescent="0.25"/>
    <row r="333" ht="14.25" customHeight="1" x14ac:dyDescent="0.25"/>
    <row r="334" ht="14.25" customHeight="1" x14ac:dyDescent="0.25"/>
    <row r="335" ht="14.25" customHeight="1" x14ac:dyDescent="0.25"/>
    <row r="336" ht="14.25" customHeight="1" x14ac:dyDescent="0.25"/>
    <row r="337" ht="14.25" customHeight="1" x14ac:dyDescent="0.25"/>
    <row r="338" ht="14.25" customHeight="1" x14ac:dyDescent="0.25"/>
    <row r="339" ht="14.25" customHeight="1" x14ac:dyDescent="0.25"/>
    <row r="340" ht="14.25" customHeight="1" x14ac:dyDescent="0.25"/>
    <row r="341" ht="14.25" customHeight="1" x14ac:dyDescent="0.25"/>
    <row r="342" ht="14.25" customHeight="1" x14ac:dyDescent="0.25"/>
    <row r="343" ht="14.25" customHeight="1" x14ac:dyDescent="0.25"/>
    <row r="344" ht="14.25" customHeight="1" x14ac:dyDescent="0.25"/>
    <row r="345" ht="14.25" customHeight="1" x14ac:dyDescent="0.25"/>
    <row r="346" ht="14.25" customHeight="1" x14ac:dyDescent="0.25"/>
    <row r="347" ht="14.25" customHeight="1" x14ac:dyDescent="0.25"/>
    <row r="348" ht="14.25" customHeight="1" x14ac:dyDescent="0.25"/>
    <row r="349" ht="14.25" customHeight="1" x14ac:dyDescent="0.25"/>
    <row r="350" ht="14.25" customHeight="1" x14ac:dyDescent="0.25"/>
    <row r="351" ht="14.25" customHeight="1" x14ac:dyDescent="0.25"/>
    <row r="352" ht="14.25" customHeight="1" x14ac:dyDescent="0.25"/>
    <row r="353" ht="14.25" customHeight="1" x14ac:dyDescent="0.25"/>
    <row r="354" ht="14.25" customHeight="1" x14ac:dyDescent="0.25"/>
    <row r="355" ht="14.25" customHeight="1" x14ac:dyDescent="0.25"/>
    <row r="356" ht="14.25" customHeight="1" x14ac:dyDescent="0.25"/>
    <row r="357" ht="14.25" customHeight="1" x14ac:dyDescent="0.25"/>
    <row r="358" ht="14.25" customHeight="1" x14ac:dyDescent="0.25"/>
    <row r="359" ht="14.25" customHeight="1" x14ac:dyDescent="0.25"/>
    <row r="360" ht="14.25" customHeight="1" x14ac:dyDescent="0.25"/>
    <row r="361" ht="14.25" customHeight="1" x14ac:dyDescent="0.25"/>
    <row r="362" ht="14.25" customHeight="1" x14ac:dyDescent="0.25"/>
    <row r="363" ht="14.25" customHeight="1" x14ac:dyDescent="0.25"/>
    <row r="364" ht="14.25" customHeight="1" x14ac:dyDescent="0.25"/>
    <row r="365" ht="14.25" customHeight="1" x14ac:dyDescent="0.25"/>
    <row r="366" ht="14.25" customHeight="1" x14ac:dyDescent="0.25"/>
    <row r="367" ht="14.25" customHeight="1" x14ac:dyDescent="0.25"/>
    <row r="368" ht="14.25" customHeight="1" x14ac:dyDescent="0.25"/>
    <row r="369" ht="14.25" customHeight="1" x14ac:dyDescent="0.25"/>
    <row r="370" ht="14.25" customHeight="1" x14ac:dyDescent="0.25"/>
    <row r="371" ht="14.25" customHeight="1" x14ac:dyDescent="0.25"/>
    <row r="372" ht="14.25" customHeight="1" x14ac:dyDescent="0.25"/>
    <row r="373" ht="14.25" customHeight="1" x14ac:dyDescent="0.25"/>
    <row r="374" ht="14.25" customHeight="1" x14ac:dyDescent="0.25"/>
    <row r="375" ht="14.25" customHeight="1" x14ac:dyDescent="0.25"/>
    <row r="376" ht="14.25" customHeight="1" x14ac:dyDescent="0.25"/>
    <row r="377" ht="14.25" customHeight="1" x14ac:dyDescent="0.25"/>
    <row r="378" ht="14.25" customHeight="1" x14ac:dyDescent="0.25"/>
    <row r="379" ht="14.25" customHeight="1" x14ac:dyDescent="0.25"/>
    <row r="380" ht="14.25" customHeight="1" x14ac:dyDescent="0.25"/>
    <row r="381" ht="14.25" customHeight="1" x14ac:dyDescent="0.25"/>
    <row r="382" ht="14.25" customHeight="1" x14ac:dyDescent="0.25"/>
    <row r="383" ht="14.25" customHeight="1" x14ac:dyDescent="0.25"/>
    <row r="384" ht="14.25" customHeight="1" x14ac:dyDescent="0.25"/>
    <row r="385" ht="14.25" customHeight="1" x14ac:dyDescent="0.25"/>
    <row r="386" ht="14.25" customHeight="1" x14ac:dyDescent="0.25"/>
    <row r="387" ht="14.25" customHeight="1" x14ac:dyDescent="0.25"/>
    <row r="388" ht="14.25" customHeight="1" x14ac:dyDescent="0.25"/>
    <row r="389" ht="14.25" customHeight="1" x14ac:dyDescent="0.25"/>
    <row r="390" ht="14.25" customHeight="1" x14ac:dyDescent="0.25"/>
    <row r="391" ht="14.25" customHeight="1" x14ac:dyDescent="0.25"/>
    <row r="392" ht="14.25" customHeight="1" x14ac:dyDescent="0.25"/>
    <row r="393" ht="14.25" customHeight="1" x14ac:dyDescent="0.25"/>
    <row r="394" ht="14.25" customHeight="1" x14ac:dyDescent="0.25"/>
    <row r="395" ht="14.25" customHeight="1" x14ac:dyDescent="0.25"/>
    <row r="396" ht="14.25" customHeight="1" x14ac:dyDescent="0.25"/>
    <row r="397" ht="14.25" customHeight="1" x14ac:dyDescent="0.25"/>
    <row r="398" ht="14.25" customHeight="1" x14ac:dyDescent="0.25"/>
    <row r="399" ht="14.25" customHeight="1" x14ac:dyDescent="0.25"/>
    <row r="400" ht="14.25" customHeight="1" x14ac:dyDescent="0.25"/>
    <row r="401" ht="14.25" customHeight="1" x14ac:dyDescent="0.25"/>
    <row r="402" ht="14.25" customHeight="1" x14ac:dyDescent="0.25"/>
    <row r="403" ht="14.25" customHeight="1" x14ac:dyDescent="0.25"/>
    <row r="404" ht="14.25" customHeight="1" x14ac:dyDescent="0.25"/>
    <row r="405" ht="14.25" customHeight="1" x14ac:dyDescent="0.25"/>
    <row r="406" ht="14.25" customHeight="1" x14ac:dyDescent="0.25"/>
    <row r="407" ht="14.25" customHeight="1" x14ac:dyDescent="0.25"/>
    <row r="408" ht="14.25" customHeight="1" x14ac:dyDescent="0.25"/>
    <row r="409" ht="14.25" customHeight="1" x14ac:dyDescent="0.25"/>
    <row r="410" ht="14.25" customHeight="1" x14ac:dyDescent="0.25"/>
    <row r="411" ht="14.25" customHeight="1" x14ac:dyDescent="0.25"/>
    <row r="412" ht="14.25" customHeight="1" x14ac:dyDescent="0.25"/>
    <row r="413" ht="14.25" customHeight="1" x14ac:dyDescent="0.25"/>
    <row r="414" ht="14.25" customHeight="1" x14ac:dyDescent="0.25"/>
    <row r="415" ht="14.25" customHeight="1" x14ac:dyDescent="0.25"/>
    <row r="416" ht="14.25" customHeight="1" x14ac:dyDescent="0.25"/>
    <row r="417" ht="14.25" customHeight="1" x14ac:dyDescent="0.25"/>
    <row r="418" ht="14.25" customHeight="1" x14ac:dyDescent="0.25"/>
    <row r="419" ht="14.25" customHeight="1" x14ac:dyDescent="0.25"/>
    <row r="420" ht="14.25" customHeight="1" x14ac:dyDescent="0.25"/>
    <row r="421" ht="14.25" customHeight="1" x14ac:dyDescent="0.25"/>
    <row r="422" ht="14.25" customHeight="1" x14ac:dyDescent="0.25"/>
    <row r="423" ht="14.25" customHeight="1" x14ac:dyDescent="0.25"/>
    <row r="424" ht="14.25" customHeight="1" x14ac:dyDescent="0.25"/>
    <row r="425" ht="14.25" customHeight="1" x14ac:dyDescent="0.25"/>
    <row r="426" ht="14.25" customHeight="1" x14ac:dyDescent="0.25"/>
    <row r="427" ht="14.25" customHeight="1" x14ac:dyDescent="0.25"/>
    <row r="428" ht="14.25" customHeight="1" x14ac:dyDescent="0.25"/>
    <row r="429" ht="14.25" customHeight="1" x14ac:dyDescent="0.25"/>
    <row r="430" ht="14.25" customHeight="1" x14ac:dyDescent="0.25"/>
    <row r="431" ht="14.25" customHeight="1" x14ac:dyDescent="0.25"/>
    <row r="432" ht="14.25" customHeight="1" x14ac:dyDescent="0.25"/>
    <row r="433" ht="14.25" customHeight="1" x14ac:dyDescent="0.25"/>
    <row r="434" ht="14.25" customHeight="1" x14ac:dyDescent="0.25"/>
    <row r="435" ht="14.25" customHeight="1" x14ac:dyDescent="0.25"/>
    <row r="436" ht="14.25" customHeight="1" x14ac:dyDescent="0.25"/>
    <row r="437" ht="14.25" customHeight="1" x14ac:dyDescent="0.25"/>
    <row r="438" ht="14.25" customHeight="1" x14ac:dyDescent="0.25"/>
    <row r="439" ht="14.25" customHeight="1" x14ac:dyDescent="0.25"/>
    <row r="440" ht="14.25" customHeight="1" x14ac:dyDescent="0.25"/>
    <row r="441" ht="14.25" customHeight="1" x14ac:dyDescent="0.25"/>
    <row r="442" ht="14.25" customHeight="1" x14ac:dyDescent="0.25"/>
    <row r="443" ht="14.25" customHeight="1" x14ac:dyDescent="0.25"/>
    <row r="444" ht="14.25" customHeight="1" x14ac:dyDescent="0.25"/>
    <row r="445" ht="14.25" customHeight="1" x14ac:dyDescent="0.25"/>
    <row r="446" ht="14.25" customHeight="1" x14ac:dyDescent="0.25"/>
    <row r="447" ht="14.25" customHeight="1" x14ac:dyDescent="0.25"/>
    <row r="448" ht="14.25" customHeight="1" x14ac:dyDescent="0.25"/>
    <row r="449" ht="14.25" customHeight="1" x14ac:dyDescent="0.25"/>
    <row r="450" ht="14.25" customHeight="1" x14ac:dyDescent="0.25"/>
    <row r="451" ht="14.25" customHeight="1" x14ac:dyDescent="0.25"/>
    <row r="452" ht="14.25" customHeight="1" x14ac:dyDescent="0.25"/>
    <row r="453" ht="14.25" customHeight="1" x14ac:dyDescent="0.25"/>
    <row r="454" ht="14.25" customHeight="1" x14ac:dyDescent="0.25"/>
    <row r="455" ht="14.25" customHeight="1" x14ac:dyDescent="0.25"/>
    <row r="456" ht="14.25" customHeight="1" x14ac:dyDescent="0.25"/>
    <row r="457" ht="14.25" customHeight="1" x14ac:dyDescent="0.25"/>
    <row r="458" ht="14.25" customHeight="1" x14ac:dyDescent="0.25"/>
    <row r="459" ht="14.25" customHeight="1" x14ac:dyDescent="0.25"/>
    <row r="460" ht="14.25" customHeight="1" x14ac:dyDescent="0.25"/>
    <row r="461" ht="14.25" customHeight="1" x14ac:dyDescent="0.25"/>
    <row r="462" ht="14.25" customHeight="1" x14ac:dyDescent="0.25"/>
    <row r="463" ht="14.25" customHeight="1" x14ac:dyDescent="0.25"/>
    <row r="464" ht="14.25" customHeight="1" x14ac:dyDescent="0.25"/>
    <row r="465" ht="14.25" customHeight="1" x14ac:dyDescent="0.25"/>
    <row r="466" ht="14.25" customHeight="1" x14ac:dyDescent="0.25"/>
    <row r="467" ht="14.25" customHeight="1" x14ac:dyDescent="0.25"/>
    <row r="468" ht="14.25" customHeight="1" x14ac:dyDescent="0.25"/>
    <row r="469" ht="14.25" customHeight="1" x14ac:dyDescent="0.25"/>
    <row r="470" ht="14.25" customHeight="1" x14ac:dyDescent="0.25"/>
    <row r="471" ht="14.25" customHeight="1" x14ac:dyDescent="0.25"/>
    <row r="472" ht="14.25" customHeight="1" x14ac:dyDescent="0.25"/>
    <row r="473" ht="14.25" customHeight="1" x14ac:dyDescent="0.25"/>
    <row r="474" ht="14.25" customHeight="1" x14ac:dyDescent="0.25"/>
    <row r="475" ht="14.25" customHeight="1" x14ac:dyDescent="0.25"/>
    <row r="476" ht="14.25" customHeight="1" x14ac:dyDescent="0.25"/>
    <row r="477" ht="14.25" customHeight="1" x14ac:dyDescent="0.25"/>
    <row r="478" ht="14.25" customHeight="1" x14ac:dyDescent="0.25"/>
    <row r="479" ht="14.25" customHeight="1" x14ac:dyDescent="0.25"/>
    <row r="480" ht="14.25" customHeight="1" x14ac:dyDescent="0.25"/>
    <row r="481" ht="14.25" customHeight="1" x14ac:dyDescent="0.25"/>
    <row r="482" ht="14.25" customHeight="1" x14ac:dyDescent="0.25"/>
    <row r="483" ht="14.25" customHeight="1" x14ac:dyDescent="0.25"/>
    <row r="484" ht="14.25" customHeight="1" x14ac:dyDescent="0.25"/>
    <row r="485" ht="14.25" customHeight="1" x14ac:dyDescent="0.25"/>
    <row r="486" ht="14.25" customHeight="1" x14ac:dyDescent="0.25"/>
    <row r="487" ht="14.25" customHeight="1" x14ac:dyDescent="0.25"/>
    <row r="488" ht="14.25" customHeight="1" x14ac:dyDescent="0.25"/>
    <row r="489" ht="14.25" customHeight="1" x14ac:dyDescent="0.25"/>
    <row r="490" ht="14.25" customHeight="1" x14ac:dyDescent="0.25"/>
    <row r="491" ht="14.25" customHeight="1" x14ac:dyDescent="0.25"/>
    <row r="492" ht="14.25" customHeight="1" x14ac:dyDescent="0.25"/>
    <row r="493" ht="14.25" customHeight="1" x14ac:dyDescent="0.25"/>
    <row r="494" ht="14.25" customHeight="1" x14ac:dyDescent="0.25"/>
    <row r="495" ht="14.25" customHeight="1" x14ac:dyDescent="0.25"/>
    <row r="496" ht="14.25" customHeight="1" x14ac:dyDescent="0.25"/>
    <row r="497" ht="14.25" customHeight="1" x14ac:dyDescent="0.25"/>
    <row r="498" ht="14.25" customHeight="1" x14ac:dyDescent="0.25"/>
    <row r="499" ht="14.25" customHeight="1" x14ac:dyDescent="0.25"/>
    <row r="500" ht="14.25" customHeight="1" x14ac:dyDescent="0.25"/>
    <row r="501" ht="14.25" customHeight="1" x14ac:dyDescent="0.25"/>
    <row r="502" ht="14.25" customHeight="1" x14ac:dyDescent="0.25"/>
    <row r="503" ht="14.25" customHeight="1" x14ac:dyDescent="0.25"/>
    <row r="504" ht="14.25" customHeight="1" x14ac:dyDescent="0.25"/>
    <row r="505" ht="14.25" customHeight="1" x14ac:dyDescent="0.25"/>
    <row r="506" ht="14.25" customHeight="1" x14ac:dyDescent="0.25"/>
    <row r="507" ht="14.25" customHeight="1" x14ac:dyDescent="0.25"/>
    <row r="508" ht="14.25" customHeight="1" x14ac:dyDescent="0.25"/>
    <row r="509" ht="14.25" customHeight="1" x14ac:dyDescent="0.25"/>
    <row r="510" ht="14.25" customHeight="1" x14ac:dyDescent="0.25"/>
    <row r="511" ht="14.25" customHeight="1" x14ac:dyDescent="0.25"/>
    <row r="512" ht="14.25" customHeight="1" x14ac:dyDescent="0.25"/>
    <row r="513" ht="14.25" customHeight="1" x14ac:dyDescent="0.25"/>
    <row r="514" ht="14.25" customHeight="1" x14ac:dyDescent="0.25"/>
    <row r="515" ht="14.25" customHeight="1" x14ac:dyDescent="0.25"/>
    <row r="516" ht="14.25" customHeight="1" x14ac:dyDescent="0.25"/>
    <row r="517" ht="14.25" customHeight="1" x14ac:dyDescent="0.25"/>
    <row r="518" ht="14.25" customHeight="1" x14ac:dyDescent="0.25"/>
    <row r="519" ht="14.25" customHeight="1" x14ac:dyDescent="0.25"/>
    <row r="520" ht="14.25" customHeight="1" x14ac:dyDescent="0.25"/>
    <row r="521" ht="14.25" customHeight="1" x14ac:dyDescent="0.25"/>
    <row r="522" ht="14.25" customHeight="1" x14ac:dyDescent="0.25"/>
    <row r="523" ht="14.25" customHeight="1" x14ac:dyDescent="0.25"/>
    <row r="524" ht="14.25" customHeight="1" x14ac:dyDescent="0.25"/>
    <row r="525" ht="14.25" customHeight="1" x14ac:dyDescent="0.25"/>
    <row r="526" ht="14.25" customHeight="1" x14ac:dyDescent="0.25"/>
    <row r="527" ht="14.25" customHeight="1" x14ac:dyDescent="0.25"/>
    <row r="528" ht="14.25" customHeight="1" x14ac:dyDescent="0.25"/>
    <row r="529" ht="14.25" customHeight="1" x14ac:dyDescent="0.25"/>
    <row r="530" ht="14.25" customHeight="1" x14ac:dyDescent="0.25"/>
    <row r="531" ht="14.25" customHeight="1" x14ac:dyDescent="0.25"/>
    <row r="532" ht="14.25" customHeight="1" x14ac:dyDescent="0.25"/>
    <row r="533" ht="14.25" customHeight="1" x14ac:dyDescent="0.25"/>
    <row r="534" ht="14.25" customHeight="1" x14ac:dyDescent="0.25"/>
    <row r="535" ht="14.25" customHeight="1" x14ac:dyDescent="0.25"/>
    <row r="536" ht="14.25" customHeight="1" x14ac:dyDescent="0.25"/>
    <row r="537" ht="14.25" customHeight="1" x14ac:dyDescent="0.25"/>
    <row r="538" ht="14.25" customHeight="1" x14ac:dyDescent="0.25"/>
    <row r="539" ht="14.25" customHeight="1" x14ac:dyDescent="0.25"/>
    <row r="540" ht="14.25" customHeight="1" x14ac:dyDescent="0.25"/>
    <row r="541" ht="14.25" customHeight="1" x14ac:dyDescent="0.25"/>
    <row r="542" ht="14.25" customHeight="1" x14ac:dyDescent="0.25"/>
    <row r="543" ht="14.25" customHeight="1" x14ac:dyDescent="0.25"/>
    <row r="544" ht="14.25" customHeight="1" x14ac:dyDescent="0.25"/>
    <row r="545" ht="14.25" customHeight="1" x14ac:dyDescent="0.25"/>
    <row r="546" ht="14.25" customHeight="1" x14ac:dyDescent="0.25"/>
    <row r="547" ht="14.25" customHeight="1" x14ac:dyDescent="0.25"/>
    <row r="548" ht="14.25" customHeight="1" x14ac:dyDescent="0.25"/>
    <row r="549" ht="14.25" customHeight="1" x14ac:dyDescent="0.25"/>
    <row r="550" ht="14.25" customHeight="1" x14ac:dyDescent="0.25"/>
    <row r="551" ht="14.25" customHeight="1" x14ac:dyDescent="0.25"/>
    <row r="552" ht="14.25" customHeight="1" x14ac:dyDescent="0.25"/>
    <row r="553" ht="14.25" customHeight="1" x14ac:dyDescent="0.25"/>
    <row r="554" ht="14.25" customHeight="1" x14ac:dyDescent="0.25"/>
    <row r="555" ht="14.25" customHeight="1" x14ac:dyDescent="0.25"/>
    <row r="556" ht="14.25" customHeight="1" x14ac:dyDescent="0.25"/>
    <row r="557" ht="14.25" customHeight="1" x14ac:dyDescent="0.25"/>
    <row r="558" ht="14.25" customHeight="1" x14ac:dyDescent="0.25"/>
    <row r="559" ht="14.25" customHeight="1" x14ac:dyDescent="0.25"/>
    <row r="560" ht="14.25" customHeight="1" x14ac:dyDescent="0.25"/>
    <row r="561" ht="14.25" customHeight="1" x14ac:dyDescent="0.25"/>
    <row r="562" ht="14.25" customHeight="1" x14ac:dyDescent="0.25"/>
    <row r="563" ht="14.25" customHeight="1" x14ac:dyDescent="0.25"/>
    <row r="564" ht="14.25" customHeight="1" x14ac:dyDescent="0.25"/>
    <row r="565" ht="14.25" customHeight="1" x14ac:dyDescent="0.25"/>
    <row r="566" ht="14.25" customHeight="1" x14ac:dyDescent="0.25"/>
    <row r="567" ht="14.25" customHeight="1" x14ac:dyDescent="0.25"/>
    <row r="568" ht="14.25" customHeight="1" x14ac:dyDescent="0.25"/>
    <row r="569" ht="14.25" customHeight="1" x14ac:dyDescent="0.25"/>
    <row r="570" ht="14.25" customHeight="1" x14ac:dyDescent="0.25"/>
    <row r="571" ht="14.25" customHeight="1" x14ac:dyDescent="0.25"/>
    <row r="572" ht="14.25" customHeight="1" x14ac:dyDescent="0.25"/>
    <row r="573" ht="14.25" customHeight="1" x14ac:dyDescent="0.25"/>
    <row r="574" ht="14.25" customHeight="1" x14ac:dyDescent="0.25"/>
    <row r="575" ht="14.25" customHeight="1" x14ac:dyDescent="0.25"/>
    <row r="576" ht="14.25" customHeight="1" x14ac:dyDescent="0.25"/>
    <row r="577" ht="14.25" customHeight="1" x14ac:dyDescent="0.25"/>
    <row r="578" ht="14.25" customHeight="1" x14ac:dyDescent="0.25"/>
    <row r="579" ht="14.25" customHeight="1" x14ac:dyDescent="0.25"/>
    <row r="580" ht="14.25" customHeight="1" x14ac:dyDescent="0.25"/>
    <row r="581" ht="14.25" customHeight="1" x14ac:dyDescent="0.25"/>
    <row r="582" ht="14.25" customHeight="1" x14ac:dyDescent="0.25"/>
    <row r="583" ht="14.25" customHeight="1" x14ac:dyDescent="0.25"/>
    <row r="584" ht="14.25" customHeight="1" x14ac:dyDescent="0.25"/>
    <row r="585" ht="14.25" customHeight="1" x14ac:dyDescent="0.25"/>
    <row r="586" ht="14.25" customHeight="1" x14ac:dyDescent="0.25"/>
    <row r="587" ht="14.25" customHeight="1" x14ac:dyDescent="0.25"/>
    <row r="588" ht="14.25" customHeight="1" x14ac:dyDescent="0.25"/>
    <row r="589" ht="14.25" customHeight="1" x14ac:dyDescent="0.25"/>
    <row r="590" ht="14.25" customHeight="1" x14ac:dyDescent="0.25"/>
    <row r="591" ht="14.25" customHeight="1" x14ac:dyDescent="0.25"/>
    <row r="592" ht="14.25" customHeight="1" x14ac:dyDescent="0.25"/>
    <row r="593" ht="14.25" customHeight="1" x14ac:dyDescent="0.25"/>
    <row r="594" ht="14.25" customHeight="1" x14ac:dyDescent="0.25"/>
    <row r="595" ht="14.25" customHeight="1" x14ac:dyDescent="0.25"/>
    <row r="596" ht="14.25" customHeight="1" x14ac:dyDescent="0.25"/>
    <row r="597" ht="14.25" customHeight="1" x14ac:dyDescent="0.25"/>
    <row r="598" ht="14.25" customHeight="1" x14ac:dyDescent="0.25"/>
    <row r="599" ht="14.25" customHeight="1" x14ac:dyDescent="0.25"/>
    <row r="600" ht="14.25" customHeight="1" x14ac:dyDescent="0.25"/>
    <row r="601" ht="14.25" customHeight="1" x14ac:dyDescent="0.25"/>
    <row r="602" ht="14.25" customHeight="1" x14ac:dyDescent="0.25"/>
    <row r="603" ht="14.25" customHeight="1" x14ac:dyDescent="0.25"/>
    <row r="604" ht="14.25" customHeight="1" x14ac:dyDescent="0.25"/>
    <row r="605" ht="14.25" customHeight="1" x14ac:dyDescent="0.25"/>
    <row r="606" ht="14.25" customHeight="1" x14ac:dyDescent="0.25"/>
    <row r="607" ht="14.25" customHeight="1" x14ac:dyDescent="0.25"/>
    <row r="608" ht="14.25" customHeight="1" x14ac:dyDescent="0.25"/>
    <row r="609" ht="14.25" customHeight="1" x14ac:dyDescent="0.25"/>
    <row r="610" ht="14.25" customHeight="1" x14ac:dyDescent="0.25"/>
    <row r="611" ht="14.25" customHeight="1" x14ac:dyDescent="0.25"/>
    <row r="612" ht="14.25" customHeight="1" x14ac:dyDescent="0.25"/>
    <row r="613" ht="14.25" customHeight="1" x14ac:dyDescent="0.25"/>
    <row r="614" ht="14.25" customHeight="1" x14ac:dyDescent="0.25"/>
    <row r="615" ht="14.25" customHeight="1" x14ac:dyDescent="0.25"/>
    <row r="616" ht="14.25" customHeight="1" x14ac:dyDescent="0.25"/>
    <row r="617" ht="14.25" customHeight="1" x14ac:dyDescent="0.25"/>
    <row r="618" ht="14.25" customHeight="1" x14ac:dyDescent="0.25"/>
    <row r="619" ht="14.25" customHeight="1" x14ac:dyDescent="0.25"/>
    <row r="620" ht="14.25" customHeight="1" x14ac:dyDescent="0.25"/>
    <row r="621" ht="14.25" customHeight="1" x14ac:dyDescent="0.25"/>
    <row r="622" ht="14.25" customHeight="1" x14ac:dyDescent="0.25"/>
    <row r="623" ht="14.25" customHeight="1" x14ac:dyDescent="0.25"/>
    <row r="624" ht="14.25" customHeight="1" x14ac:dyDescent="0.25"/>
    <row r="625" ht="14.25" customHeight="1" x14ac:dyDescent="0.25"/>
    <row r="626" ht="14.25" customHeight="1" x14ac:dyDescent="0.25"/>
    <row r="627" ht="14.25" customHeight="1" x14ac:dyDescent="0.25"/>
    <row r="628" ht="14.25" customHeight="1" x14ac:dyDescent="0.25"/>
    <row r="629" ht="14.25" customHeight="1" x14ac:dyDescent="0.25"/>
    <row r="630" ht="14.25" customHeight="1" x14ac:dyDescent="0.25"/>
    <row r="631" ht="14.25" customHeight="1" x14ac:dyDescent="0.25"/>
    <row r="632" ht="14.25" customHeight="1" x14ac:dyDescent="0.25"/>
    <row r="633" ht="14.25" customHeight="1" x14ac:dyDescent="0.25"/>
    <row r="634" ht="14.25" customHeight="1" x14ac:dyDescent="0.25"/>
    <row r="635" ht="14.25" customHeight="1" x14ac:dyDescent="0.25"/>
    <row r="636" ht="14.25" customHeight="1" x14ac:dyDescent="0.25"/>
    <row r="637" ht="14.25" customHeight="1" x14ac:dyDescent="0.25"/>
    <row r="638" ht="14.25" customHeight="1" x14ac:dyDescent="0.25"/>
    <row r="639" ht="14.25" customHeight="1" x14ac:dyDescent="0.25"/>
    <row r="640" ht="14.25" customHeight="1" x14ac:dyDescent="0.25"/>
    <row r="641" ht="14.25" customHeight="1" x14ac:dyDescent="0.25"/>
    <row r="642" ht="14.25" customHeight="1" x14ac:dyDescent="0.25"/>
    <row r="643" ht="14.25" customHeight="1" x14ac:dyDescent="0.25"/>
    <row r="644" ht="14.25" customHeight="1" x14ac:dyDescent="0.25"/>
    <row r="645" ht="14.25" customHeight="1" x14ac:dyDescent="0.25"/>
    <row r="646" ht="14.25" customHeight="1" x14ac:dyDescent="0.25"/>
    <row r="647" ht="14.25" customHeight="1" x14ac:dyDescent="0.25"/>
    <row r="648" ht="14.25" customHeight="1" x14ac:dyDescent="0.25"/>
    <row r="649" ht="14.25" customHeight="1" x14ac:dyDescent="0.25"/>
    <row r="650" ht="14.25" customHeight="1" x14ac:dyDescent="0.25"/>
    <row r="651" ht="14.25" customHeight="1" x14ac:dyDescent="0.25"/>
    <row r="652" ht="14.25" customHeight="1" x14ac:dyDescent="0.25"/>
    <row r="653" ht="14.25" customHeight="1" x14ac:dyDescent="0.25"/>
    <row r="654" ht="14.25" customHeight="1" x14ac:dyDescent="0.25"/>
    <row r="655" ht="14.25" customHeight="1" x14ac:dyDescent="0.25"/>
    <row r="656" ht="14.25" customHeight="1" x14ac:dyDescent="0.25"/>
    <row r="657" ht="14.25" customHeight="1" x14ac:dyDescent="0.25"/>
    <row r="658" ht="14.25" customHeight="1" x14ac:dyDescent="0.25"/>
    <row r="659" ht="14.25" customHeight="1" x14ac:dyDescent="0.25"/>
    <row r="660" ht="14.25" customHeight="1" x14ac:dyDescent="0.25"/>
    <row r="661" ht="14.25" customHeight="1" x14ac:dyDescent="0.25"/>
    <row r="662" ht="14.25" customHeight="1" x14ac:dyDescent="0.25"/>
    <row r="663" ht="14.25" customHeight="1" x14ac:dyDescent="0.25"/>
    <row r="664" ht="14.25" customHeight="1" x14ac:dyDescent="0.25"/>
    <row r="665" ht="14.25" customHeight="1" x14ac:dyDescent="0.25"/>
    <row r="666" ht="14.25" customHeight="1" x14ac:dyDescent="0.25"/>
    <row r="667" ht="14.25" customHeight="1" x14ac:dyDescent="0.25"/>
    <row r="668" ht="14.25" customHeight="1" x14ac:dyDescent="0.25"/>
    <row r="669" ht="14.25" customHeight="1" x14ac:dyDescent="0.25"/>
    <row r="670" ht="14.25" customHeight="1" x14ac:dyDescent="0.25"/>
    <row r="671" ht="14.25" customHeight="1" x14ac:dyDescent="0.25"/>
    <row r="672" ht="14.25" customHeight="1" x14ac:dyDescent="0.25"/>
    <row r="673" ht="14.25" customHeight="1" x14ac:dyDescent="0.25"/>
    <row r="674" ht="14.25" customHeight="1" x14ac:dyDescent="0.25"/>
    <row r="675" ht="14.25" customHeight="1" x14ac:dyDescent="0.25"/>
    <row r="676" ht="14.25" customHeight="1" x14ac:dyDescent="0.25"/>
    <row r="677" ht="14.25" customHeight="1" x14ac:dyDescent="0.25"/>
    <row r="678" ht="14.25" customHeight="1" x14ac:dyDescent="0.25"/>
    <row r="679" ht="14.25" customHeight="1" x14ac:dyDescent="0.25"/>
    <row r="680" ht="14.25" customHeight="1" x14ac:dyDescent="0.25"/>
    <row r="681" ht="14.25" customHeight="1" x14ac:dyDescent="0.25"/>
    <row r="682" ht="14.25" customHeight="1" x14ac:dyDescent="0.25"/>
    <row r="683" ht="14.25" customHeight="1" x14ac:dyDescent="0.25"/>
    <row r="684" ht="14.25" customHeight="1" x14ac:dyDescent="0.25"/>
    <row r="685" ht="14.25" customHeight="1" x14ac:dyDescent="0.25"/>
    <row r="686" ht="14.25" customHeight="1" x14ac:dyDescent="0.25"/>
    <row r="687" ht="14.25" customHeight="1" x14ac:dyDescent="0.25"/>
    <row r="688" ht="14.25" customHeight="1" x14ac:dyDescent="0.25"/>
    <row r="689" ht="14.25" customHeight="1" x14ac:dyDescent="0.25"/>
    <row r="690" ht="14.25" customHeight="1" x14ac:dyDescent="0.25"/>
    <row r="691" ht="14.25" customHeight="1" x14ac:dyDescent="0.25"/>
    <row r="692" ht="14.25" customHeight="1" x14ac:dyDescent="0.25"/>
    <row r="693" ht="14.25" customHeight="1" x14ac:dyDescent="0.25"/>
    <row r="694" ht="14.25" customHeight="1" x14ac:dyDescent="0.25"/>
    <row r="695" ht="14.25" customHeight="1" x14ac:dyDescent="0.25"/>
    <row r="696" ht="14.25" customHeight="1" x14ac:dyDescent="0.25"/>
    <row r="697" ht="14.25" customHeight="1" x14ac:dyDescent="0.25"/>
    <row r="698" ht="14.25" customHeight="1" x14ac:dyDescent="0.25"/>
    <row r="699" ht="14.25" customHeight="1" x14ac:dyDescent="0.25"/>
    <row r="700" ht="14.25" customHeight="1" x14ac:dyDescent="0.25"/>
    <row r="701" ht="14.25" customHeight="1" x14ac:dyDescent="0.25"/>
    <row r="702" ht="14.25" customHeight="1" x14ac:dyDescent="0.25"/>
    <row r="703" ht="14.25" customHeight="1" x14ac:dyDescent="0.25"/>
    <row r="704" ht="14.25" customHeight="1" x14ac:dyDescent="0.25"/>
    <row r="705" ht="14.25" customHeight="1" x14ac:dyDescent="0.25"/>
    <row r="706" ht="14.25" customHeight="1" x14ac:dyDescent="0.25"/>
    <row r="707" ht="14.25" customHeight="1" x14ac:dyDescent="0.25"/>
    <row r="708" ht="14.25" customHeight="1" x14ac:dyDescent="0.25"/>
    <row r="709" ht="14.25" customHeight="1" x14ac:dyDescent="0.25"/>
    <row r="710" ht="14.25" customHeight="1" x14ac:dyDescent="0.25"/>
    <row r="711" ht="14.25" customHeight="1" x14ac:dyDescent="0.25"/>
    <row r="712" ht="14.25" customHeight="1" x14ac:dyDescent="0.25"/>
    <row r="713" ht="14.25" customHeight="1" x14ac:dyDescent="0.25"/>
    <row r="714" ht="14.25" customHeight="1" x14ac:dyDescent="0.25"/>
    <row r="715" ht="14.25" customHeight="1" x14ac:dyDescent="0.25"/>
    <row r="716" ht="14.25" customHeight="1" x14ac:dyDescent="0.25"/>
    <row r="717" ht="14.25" customHeight="1" x14ac:dyDescent="0.25"/>
    <row r="718" ht="14.25" customHeight="1" x14ac:dyDescent="0.25"/>
    <row r="719" ht="14.25" customHeight="1" x14ac:dyDescent="0.25"/>
    <row r="720" ht="14.25" customHeight="1" x14ac:dyDescent="0.25"/>
    <row r="721" ht="14.25" customHeight="1" x14ac:dyDescent="0.25"/>
    <row r="722" ht="14.25" customHeight="1" x14ac:dyDescent="0.25"/>
    <row r="723" ht="14.25" customHeight="1" x14ac:dyDescent="0.25"/>
    <row r="724" ht="14.25" customHeight="1" x14ac:dyDescent="0.25"/>
    <row r="725" ht="14.25" customHeight="1" x14ac:dyDescent="0.25"/>
    <row r="726" ht="14.25" customHeight="1" x14ac:dyDescent="0.25"/>
    <row r="727" ht="14.25" customHeight="1" x14ac:dyDescent="0.25"/>
    <row r="728" ht="14.25" customHeight="1" x14ac:dyDescent="0.25"/>
    <row r="729" ht="14.25" customHeight="1" x14ac:dyDescent="0.25"/>
    <row r="730" ht="14.25" customHeight="1" x14ac:dyDescent="0.25"/>
    <row r="731" ht="14.25" customHeight="1" x14ac:dyDescent="0.25"/>
    <row r="732" ht="14.25" customHeight="1" x14ac:dyDescent="0.25"/>
    <row r="733" ht="14.25" customHeight="1" x14ac:dyDescent="0.25"/>
    <row r="734" ht="14.25" customHeight="1" x14ac:dyDescent="0.25"/>
    <row r="735" ht="14.25" customHeight="1" x14ac:dyDescent="0.25"/>
    <row r="736" ht="14.25" customHeight="1" x14ac:dyDescent="0.25"/>
    <row r="737" ht="14.25" customHeight="1" x14ac:dyDescent="0.25"/>
    <row r="738" ht="14.25" customHeight="1" x14ac:dyDescent="0.25"/>
    <row r="739" ht="14.25" customHeight="1" x14ac:dyDescent="0.25"/>
    <row r="740" ht="14.25" customHeight="1" x14ac:dyDescent="0.25"/>
    <row r="741" ht="14.25" customHeight="1" x14ac:dyDescent="0.25"/>
    <row r="742" ht="14.25" customHeight="1" x14ac:dyDescent="0.25"/>
    <row r="743" ht="14.25" customHeight="1" x14ac:dyDescent="0.25"/>
    <row r="744" ht="14.25" customHeight="1" x14ac:dyDescent="0.25"/>
    <row r="745" ht="14.25" customHeight="1" x14ac:dyDescent="0.25"/>
    <row r="746" ht="14.25" customHeight="1" x14ac:dyDescent="0.25"/>
    <row r="747" ht="14.25" customHeight="1" x14ac:dyDescent="0.25"/>
    <row r="748" ht="14.25" customHeight="1" x14ac:dyDescent="0.25"/>
    <row r="749" ht="14.25" customHeight="1" x14ac:dyDescent="0.25"/>
    <row r="750" ht="14.25" customHeight="1" x14ac:dyDescent="0.25"/>
    <row r="751" ht="14.25" customHeight="1" x14ac:dyDescent="0.25"/>
    <row r="752" ht="14.25" customHeight="1" x14ac:dyDescent="0.25"/>
    <row r="753" ht="14.25" customHeight="1" x14ac:dyDescent="0.25"/>
    <row r="754" ht="14.25" customHeight="1" x14ac:dyDescent="0.25"/>
    <row r="755" ht="14.25" customHeight="1" x14ac:dyDescent="0.25"/>
    <row r="756" ht="14.25" customHeight="1" x14ac:dyDescent="0.25"/>
    <row r="757" ht="14.25" customHeight="1" x14ac:dyDescent="0.25"/>
    <row r="758" ht="14.25" customHeight="1" x14ac:dyDescent="0.25"/>
    <row r="759" ht="14.25" customHeight="1" x14ac:dyDescent="0.25"/>
    <row r="760" ht="14.25" customHeight="1" x14ac:dyDescent="0.25"/>
    <row r="761" ht="14.25" customHeight="1" x14ac:dyDescent="0.25"/>
    <row r="762" ht="14.25" customHeight="1" x14ac:dyDescent="0.25"/>
    <row r="763" ht="14.25" customHeight="1" x14ac:dyDescent="0.25"/>
    <row r="764" ht="14.25" customHeight="1" x14ac:dyDescent="0.25"/>
    <row r="765" ht="14.25" customHeight="1" x14ac:dyDescent="0.25"/>
    <row r="766" ht="14.25" customHeight="1" x14ac:dyDescent="0.25"/>
    <row r="767" ht="14.25" customHeight="1" x14ac:dyDescent="0.25"/>
    <row r="768" ht="14.25" customHeight="1" x14ac:dyDescent="0.25"/>
    <row r="769" ht="14.25" customHeight="1" x14ac:dyDescent="0.25"/>
    <row r="770" ht="14.25" customHeight="1" x14ac:dyDescent="0.25"/>
    <row r="771" ht="14.25" customHeight="1" x14ac:dyDescent="0.25"/>
    <row r="772" ht="14.25" customHeight="1" x14ac:dyDescent="0.25"/>
    <row r="773" ht="14.25" customHeight="1" x14ac:dyDescent="0.25"/>
    <row r="774" ht="14.25" customHeight="1" x14ac:dyDescent="0.25"/>
    <row r="775" ht="14.25" customHeight="1" x14ac:dyDescent="0.25"/>
    <row r="776" ht="14.25" customHeight="1" x14ac:dyDescent="0.25"/>
    <row r="777" ht="14.25" customHeight="1" x14ac:dyDescent="0.25"/>
    <row r="778" ht="14.25" customHeight="1" x14ac:dyDescent="0.25"/>
    <row r="779" ht="14.25" customHeight="1" x14ac:dyDescent="0.25"/>
    <row r="780" ht="14.25" customHeight="1" x14ac:dyDescent="0.25"/>
    <row r="781" ht="14.25" customHeight="1" x14ac:dyDescent="0.25"/>
    <row r="782" ht="14.25" customHeight="1" x14ac:dyDescent="0.25"/>
    <row r="783" ht="14.25" customHeight="1" x14ac:dyDescent="0.25"/>
    <row r="784" ht="14.25" customHeight="1" x14ac:dyDescent="0.25"/>
    <row r="785" ht="14.25" customHeight="1" x14ac:dyDescent="0.25"/>
    <row r="786" ht="14.25" customHeight="1" x14ac:dyDescent="0.25"/>
    <row r="787" ht="14.25" customHeight="1" x14ac:dyDescent="0.25"/>
    <row r="788" ht="14.25" customHeight="1" x14ac:dyDescent="0.25"/>
    <row r="789" ht="14.25" customHeight="1" x14ac:dyDescent="0.25"/>
    <row r="790" ht="14.25" customHeight="1" x14ac:dyDescent="0.25"/>
    <row r="791" ht="14.25" customHeight="1" x14ac:dyDescent="0.25"/>
    <row r="792" ht="14.25" customHeight="1" x14ac:dyDescent="0.25"/>
    <row r="793" ht="14.25" customHeight="1" x14ac:dyDescent="0.25"/>
    <row r="794" ht="14.25" customHeight="1" x14ac:dyDescent="0.25"/>
    <row r="795" ht="14.25" customHeight="1" x14ac:dyDescent="0.25"/>
    <row r="796" ht="14.25" customHeight="1" x14ac:dyDescent="0.25"/>
    <row r="797" ht="14.25" customHeight="1" x14ac:dyDescent="0.25"/>
    <row r="798" ht="14.25" customHeight="1" x14ac:dyDescent="0.25"/>
    <row r="799" ht="14.25" customHeight="1" x14ac:dyDescent="0.25"/>
    <row r="800" ht="14.25" customHeight="1" x14ac:dyDescent="0.25"/>
    <row r="801" ht="14.25" customHeight="1" x14ac:dyDescent="0.25"/>
    <row r="802" ht="14.25" customHeight="1" x14ac:dyDescent="0.25"/>
    <row r="803" ht="14.25" customHeight="1" x14ac:dyDescent="0.25"/>
    <row r="804" ht="14.25" customHeight="1" x14ac:dyDescent="0.25"/>
    <row r="805" ht="14.25" customHeight="1" x14ac:dyDescent="0.25"/>
    <row r="806" ht="14.25" customHeight="1" x14ac:dyDescent="0.25"/>
    <row r="807" ht="14.25" customHeight="1" x14ac:dyDescent="0.25"/>
    <row r="808" ht="14.25" customHeight="1" x14ac:dyDescent="0.25"/>
    <row r="809" ht="14.25" customHeight="1" x14ac:dyDescent="0.25"/>
    <row r="810" ht="14.25" customHeight="1" x14ac:dyDescent="0.25"/>
    <row r="811" ht="14.25" customHeight="1" x14ac:dyDescent="0.25"/>
    <row r="812" ht="14.25" customHeight="1" x14ac:dyDescent="0.25"/>
    <row r="813" ht="14.25" customHeight="1" x14ac:dyDescent="0.25"/>
    <row r="814" ht="14.25" customHeight="1" x14ac:dyDescent="0.25"/>
    <row r="815" ht="14.25" customHeight="1" x14ac:dyDescent="0.25"/>
    <row r="816" ht="14.25" customHeight="1" x14ac:dyDescent="0.25"/>
    <row r="817" ht="14.25" customHeight="1" x14ac:dyDescent="0.25"/>
    <row r="818" ht="14.25" customHeight="1" x14ac:dyDescent="0.25"/>
    <row r="819" ht="14.25" customHeight="1" x14ac:dyDescent="0.25"/>
    <row r="820" ht="14.25" customHeight="1" x14ac:dyDescent="0.25"/>
    <row r="821" ht="14.25" customHeight="1" x14ac:dyDescent="0.25"/>
    <row r="822" ht="14.25" customHeight="1" x14ac:dyDescent="0.25"/>
    <row r="823" ht="14.25" customHeight="1" x14ac:dyDescent="0.25"/>
    <row r="824" ht="14.25" customHeight="1" x14ac:dyDescent="0.25"/>
    <row r="825" ht="14.25" customHeight="1" x14ac:dyDescent="0.25"/>
    <row r="826" ht="14.25" customHeight="1" x14ac:dyDescent="0.25"/>
    <row r="827" ht="14.25" customHeight="1" x14ac:dyDescent="0.25"/>
    <row r="828" ht="14.25" customHeight="1" x14ac:dyDescent="0.25"/>
    <row r="829" ht="14.25" customHeight="1" x14ac:dyDescent="0.25"/>
    <row r="830" ht="14.25" customHeight="1" x14ac:dyDescent="0.25"/>
    <row r="831" ht="14.25" customHeight="1" x14ac:dyDescent="0.25"/>
    <row r="832" ht="14.25" customHeight="1" x14ac:dyDescent="0.25"/>
    <row r="833" ht="14.25" customHeight="1" x14ac:dyDescent="0.25"/>
    <row r="834" ht="14.25" customHeight="1" x14ac:dyDescent="0.25"/>
    <row r="835" ht="14.25" customHeight="1" x14ac:dyDescent="0.25"/>
    <row r="836" ht="14.25" customHeight="1" x14ac:dyDescent="0.25"/>
    <row r="837" ht="14.25" customHeight="1" x14ac:dyDescent="0.25"/>
    <row r="838" ht="14.25" customHeight="1" x14ac:dyDescent="0.25"/>
    <row r="839" ht="14.25" customHeight="1" x14ac:dyDescent="0.25"/>
    <row r="840" ht="14.25" customHeight="1" x14ac:dyDescent="0.25"/>
    <row r="841" ht="14.25" customHeight="1" x14ac:dyDescent="0.25"/>
    <row r="842" ht="14.25" customHeight="1" x14ac:dyDescent="0.25"/>
    <row r="843" ht="14.25" customHeight="1" x14ac:dyDescent="0.25"/>
    <row r="844" ht="14.25" customHeight="1" x14ac:dyDescent="0.25"/>
    <row r="845" ht="14.25" customHeight="1" x14ac:dyDescent="0.25"/>
    <row r="846" ht="14.25" customHeight="1" x14ac:dyDescent="0.25"/>
    <row r="847" ht="14.25" customHeight="1" x14ac:dyDescent="0.25"/>
    <row r="848" ht="14.25" customHeight="1" x14ac:dyDescent="0.25"/>
    <row r="849" ht="14.25" customHeight="1" x14ac:dyDescent="0.25"/>
    <row r="850" ht="14.25" customHeight="1" x14ac:dyDescent="0.25"/>
    <row r="851" ht="14.25" customHeight="1" x14ac:dyDescent="0.25"/>
    <row r="852" ht="14.25" customHeight="1" x14ac:dyDescent="0.25"/>
    <row r="853" ht="14.25" customHeight="1" x14ac:dyDescent="0.25"/>
    <row r="854" ht="14.25" customHeight="1" x14ac:dyDescent="0.25"/>
    <row r="855" ht="14.25" customHeight="1" x14ac:dyDescent="0.25"/>
    <row r="856" ht="14.25" customHeight="1" x14ac:dyDescent="0.25"/>
    <row r="857" ht="14.25" customHeight="1" x14ac:dyDescent="0.25"/>
    <row r="858" ht="14.25" customHeight="1" x14ac:dyDescent="0.25"/>
    <row r="859" ht="14.25" customHeight="1" x14ac:dyDescent="0.25"/>
    <row r="860" ht="14.25" customHeight="1" x14ac:dyDescent="0.25"/>
    <row r="861" ht="14.25" customHeight="1" x14ac:dyDescent="0.25"/>
    <row r="862" ht="14.25" customHeight="1" x14ac:dyDescent="0.25"/>
    <row r="863" ht="14.25" customHeight="1" x14ac:dyDescent="0.25"/>
    <row r="864" ht="14.25" customHeight="1" x14ac:dyDescent="0.25"/>
    <row r="865" ht="14.25" customHeight="1" x14ac:dyDescent="0.25"/>
    <row r="866" ht="14.25" customHeight="1" x14ac:dyDescent="0.25"/>
    <row r="867" ht="14.25" customHeight="1" x14ac:dyDescent="0.25"/>
    <row r="868" ht="14.25" customHeight="1" x14ac:dyDescent="0.25"/>
    <row r="869" ht="14.25" customHeight="1" x14ac:dyDescent="0.25"/>
    <row r="870" ht="14.25" customHeight="1" x14ac:dyDescent="0.25"/>
    <row r="871" ht="14.25" customHeight="1" x14ac:dyDescent="0.25"/>
    <row r="872" ht="14.25" customHeight="1" x14ac:dyDescent="0.25"/>
    <row r="873" ht="14.25" customHeight="1" x14ac:dyDescent="0.25"/>
    <row r="874" ht="14.25" customHeight="1" x14ac:dyDescent="0.25"/>
    <row r="875" ht="14.25" customHeight="1" x14ac:dyDescent="0.25"/>
    <row r="876" ht="14.25" customHeight="1" x14ac:dyDescent="0.25"/>
    <row r="877" ht="14.25" customHeight="1" x14ac:dyDescent="0.25"/>
    <row r="878" ht="14.25" customHeight="1" x14ac:dyDescent="0.25"/>
    <row r="879" ht="14.25" customHeight="1" x14ac:dyDescent="0.25"/>
    <row r="880" ht="14.25" customHeight="1" x14ac:dyDescent="0.25"/>
    <row r="881" ht="14.25" customHeight="1" x14ac:dyDescent="0.25"/>
    <row r="882" ht="14.25" customHeight="1" x14ac:dyDescent="0.25"/>
    <row r="883" ht="14.25" customHeight="1" x14ac:dyDescent="0.25"/>
    <row r="884" ht="14.25" customHeight="1" x14ac:dyDescent="0.25"/>
    <row r="885" ht="14.25" customHeight="1" x14ac:dyDescent="0.25"/>
    <row r="886" ht="14.25" customHeight="1" x14ac:dyDescent="0.25"/>
    <row r="887" ht="14.25" customHeight="1" x14ac:dyDescent="0.25"/>
    <row r="888" ht="14.25" customHeight="1" x14ac:dyDescent="0.25"/>
    <row r="889" ht="14.25" customHeight="1" x14ac:dyDescent="0.25"/>
    <row r="890" ht="14.25" customHeight="1" x14ac:dyDescent="0.25"/>
    <row r="891" ht="14.25" customHeight="1" x14ac:dyDescent="0.25"/>
    <row r="892" ht="14.25" customHeight="1" x14ac:dyDescent="0.25"/>
    <row r="893" ht="14.25" customHeight="1" x14ac:dyDescent="0.25"/>
    <row r="894" ht="14.25" customHeight="1" x14ac:dyDescent="0.25"/>
    <row r="895" ht="14.25" customHeight="1" x14ac:dyDescent="0.25"/>
    <row r="896" ht="14.25" customHeight="1" x14ac:dyDescent="0.25"/>
    <row r="897" ht="14.25" customHeight="1" x14ac:dyDescent="0.25"/>
    <row r="898" ht="14.25" customHeight="1" x14ac:dyDescent="0.25"/>
    <row r="899" ht="14.25" customHeight="1" x14ac:dyDescent="0.25"/>
    <row r="900" ht="14.25" customHeight="1" x14ac:dyDescent="0.25"/>
    <row r="901" ht="14.25" customHeight="1" x14ac:dyDescent="0.25"/>
    <row r="902" ht="14.25" customHeight="1" x14ac:dyDescent="0.25"/>
    <row r="903" ht="14.25" customHeight="1" x14ac:dyDescent="0.25"/>
    <row r="904" ht="14.25" customHeight="1" x14ac:dyDescent="0.25"/>
    <row r="905" ht="14.25" customHeight="1" x14ac:dyDescent="0.25"/>
    <row r="906" ht="14.25" customHeight="1" x14ac:dyDescent="0.25"/>
    <row r="907" ht="14.25" customHeight="1" x14ac:dyDescent="0.25"/>
    <row r="908" ht="14.25" customHeight="1" x14ac:dyDescent="0.25"/>
    <row r="909" ht="14.25" customHeight="1" x14ac:dyDescent="0.25"/>
    <row r="910" ht="14.25" customHeight="1" x14ac:dyDescent="0.25"/>
    <row r="911" ht="14.25" customHeight="1" x14ac:dyDescent="0.25"/>
    <row r="912" ht="14.25" customHeight="1" x14ac:dyDescent="0.25"/>
    <row r="913" ht="14.25" customHeight="1" x14ac:dyDescent="0.25"/>
    <row r="914" ht="14.25" customHeight="1" x14ac:dyDescent="0.25"/>
    <row r="915" ht="14.25" customHeight="1" x14ac:dyDescent="0.25"/>
    <row r="916" ht="14.25" customHeight="1" x14ac:dyDescent="0.25"/>
    <row r="917" ht="14.25" customHeight="1" x14ac:dyDescent="0.25"/>
    <row r="918" ht="14.25" customHeight="1" x14ac:dyDescent="0.25"/>
    <row r="919" ht="14.25" customHeight="1" x14ac:dyDescent="0.25"/>
    <row r="920" ht="14.25" customHeight="1" x14ac:dyDescent="0.25"/>
    <row r="921" ht="14.25" customHeight="1" x14ac:dyDescent="0.25"/>
    <row r="922" ht="14.25" customHeight="1" x14ac:dyDescent="0.25"/>
    <row r="923" ht="14.25" customHeight="1" x14ac:dyDescent="0.25"/>
    <row r="924" ht="14.25" customHeight="1" x14ac:dyDescent="0.25"/>
    <row r="925" ht="14.25" customHeight="1" x14ac:dyDescent="0.25"/>
    <row r="926" ht="14.25" customHeight="1" x14ac:dyDescent="0.25"/>
    <row r="927" ht="14.25" customHeight="1" x14ac:dyDescent="0.25"/>
    <row r="928" ht="14.25" customHeight="1" x14ac:dyDescent="0.25"/>
    <row r="929" ht="14.25" customHeight="1" x14ac:dyDescent="0.25"/>
    <row r="930" ht="14.25" customHeight="1" x14ac:dyDescent="0.25"/>
    <row r="931" ht="14.25" customHeight="1" x14ac:dyDescent="0.25"/>
    <row r="932" ht="14.25" customHeight="1" x14ac:dyDescent="0.25"/>
    <row r="933" ht="14.25" customHeight="1" x14ac:dyDescent="0.25"/>
    <row r="934" ht="14.25" customHeight="1" x14ac:dyDescent="0.25"/>
    <row r="935" ht="14.25" customHeight="1" x14ac:dyDescent="0.25"/>
    <row r="936" ht="14.25" customHeight="1" x14ac:dyDescent="0.25"/>
    <row r="937" ht="14.25" customHeight="1" x14ac:dyDescent="0.25"/>
    <row r="938" ht="14.25" customHeight="1" x14ac:dyDescent="0.25"/>
    <row r="939" ht="14.25" customHeight="1" x14ac:dyDescent="0.25"/>
    <row r="940" ht="14.25" customHeight="1" x14ac:dyDescent="0.25"/>
    <row r="941" ht="14.25" customHeight="1" x14ac:dyDescent="0.25"/>
    <row r="942" ht="14.25" customHeight="1" x14ac:dyDescent="0.25"/>
    <row r="943" ht="14.25" customHeight="1" x14ac:dyDescent="0.25"/>
    <row r="944" ht="14.25" customHeight="1" x14ac:dyDescent="0.25"/>
    <row r="945" ht="14.25" customHeight="1" x14ac:dyDescent="0.25"/>
    <row r="946" ht="14.25" customHeight="1" x14ac:dyDescent="0.25"/>
    <row r="947" ht="14.25" customHeight="1" x14ac:dyDescent="0.25"/>
    <row r="948" ht="14.25" customHeight="1" x14ac:dyDescent="0.25"/>
    <row r="949" ht="14.25" customHeight="1" x14ac:dyDescent="0.25"/>
    <row r="950" ht="14.25" customHeight="1" x14ac:dyDescent="0.25"/>
    <row r="951" ht="14.25" customHeight="1" x14ac:dyDescent="0.25"/>
    <row r="952" ht="14.25" customHeight="1" x14ac:dyDescent="0.25"/>
    <row r="953" ht="14.25" customHeight="1" x14ac:dyDescent="0.25"/>
    <row r="954" ht="14.25" customHeight="1" x14ac:dyDescent="0.25"/>
    <row r="955" ht="14.25" customHeight="1" x14ac:dyDescent="0.25"/>
    <row r="956" ht="14.25" customHeight="1" x14ac:dyDescent="0.25"/>
    <row r="957" ht="14.25" customHeight="1" x14ac:dyDescent="0.25"/>
    <row r="958" ht="14.25" customHeight="1" x14ac:dyDescent="0.25"/>
    <row r="959" ht="14.25" customHeight="1" x14ac:dyDescent="0.25"/>
    <row r="960" ht="14.25" customHeight="1" x14ac:dyDescent="0.25"/>
    <row r="961" ht="14.25" customHeight="1" x14ac:dyDescent="0.25"/>
    <row r="962" ht="14.25" customHeight="1" x14ac:dyDescent="0.25"/>
    <row r="963" ht="14.25" customHeight="1" x14ac:dyDescent="0.25"/>
    <row r="964" ht="14.25" customHeight="1" x14ac:dyDescent="0.25"/>
    <row r="965" ht="14.25" customHeight="1" x14ac:dyDescent="0.25"/>
    <row r="966" ht="14.25" customHeight="1" x14ac:dyDescent="0.25"/>
    <row r="967" ht="14.25" customHeight="1" x14ac:dyDescent="0.25"/>
    <row r="968" ht="14.25" customHeight="1" x14ac:dyDescent="0.25"/>
    <row r="969" ht="14.25" customHeight="1" x14ac:dyDescent="0.25"/>
    <row r="970" ht="14.25" customHeight="1" x14ac:dyDescent="0.25"/>
    <row r="971" ht="14.25" customHeight="1" x14ac:dyDescent="0.25"/>
    <row r="972" ht="14.25" customHeight="1" x14ac:dyDescent="0.25"/>
    <row r="973" ht="14.25" customHeight="1" x14ac:dyDescent="0.25"/>
    <row r="974" ht="14.25" customHeight="1" x14ac:dyDescent="0.25"/>
    <row r="975" ht="14.25" customHeight="1" x14ac:dyDescent="0.25"/>
    <row r="976" ht="14.25" customHeight="1" x14ac:dyDescent="0.25"/>
    <row r="977" ht="14.25" customHeight="1" x14ac:dyDescent="0.25"/>
    <row r="978" ht="14.25" customHeight="1" x14ac:dyDescent="0.25"/>
    <row r="979" ht="14.25" customHeight="1" x14ac:dyDescent="0.25"/>
    <row r="980" ht="14.25" customHeight="1" x14ac:dyDescent="0.25"/>
    <row r="981" ht="14.25" customHeight="1" x14ac:dyDescent="0.25"/>
    <row r="982" ht="14.25" customHeight="1" x14ac:dyDescent="0.25"/>
    <row r="983" ht="14.25" customHeight="1" x14ac:dyDescent="0.25"/>
    <row r="984" ht="14.25" customHeight="1" x14ac:dyDescent="0.25"/>
    <row r="985" ht="14.25" customHeight="1" x14ac:dyDescent="0.25"/>
    <row r="986" ht="14.25" customHeight="1" x14ac:dyDescent="0.25"/>
    <row r="987" ht="14.25" customHeight="1" x14ac:dyDescent="0.25"/>
    <row r="988" ht="14.25" customHeight="1" x14ac:dyDescent="0.25"/>
    <row r="989" ht="14.25" customHeight="1" x14ac:dyDescent="0.25"/>
    <row r="990" ht="14.25" customHeight="1" x14ac:dyDescent="0.25"/>
    <row r="991" ht="14.25" customHeight="1" x14ac:dyDescent="0.25"/>
    <row r="992" ht="14.25" customHeight="1" x14ac:dyDescent="0.25"/>
    <row r="993" ht="14.25" customHeight="1" x14ac:dyDescent="0.25"/>
    <row r="994" ht="14.25" customHeight="1" x14ac:dyDescent="0.25"/>
    <row r="995" ht="14.25" customHeight="1" x14ac:dyDescent="0.25"/>
    <row r="996" ht="14.25" customHeight="1" x14ac:dyDescent="0.25"/>
    <row r="997" ht="14.25" customHeight="1" x14ac:dyDescent="0.25"/>
    <row r="998" ht="14.25" customHeight="1" x14ac:dyDescent="0.25"/>
    <row r="999" ht="14.25" customHeight="1" x14ac:dyDescent="0.25"/>
    <row r="1000" ht="14.25" customHeight="1" x14ac:dyDescent="0.25"/>
  </sheetData>
  <pageMargins left="0.7" right="0.7" top="0.75" bottom="0.75" header="0" footer="0"/>
  <pageSetup orientation="portrait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Itvedant</dc:creator>
  <cp:lastModifiedBy>Chiranjeev Mishra</cp:lastModifiedBy>
  <dcterms:created xsi:type="dcterms:W3CDTF">2007-05-07T13:48:37Z</dcterms:created>
  <dcterms:modified xsi:type="dcterms:W3CDTF">2026-08-27T05:12:35Z</dcterms:modified>
</cp:coreProperties>
</file>